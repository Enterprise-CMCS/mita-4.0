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carter44/Library/Application Support/Box/Box Edit/Documents/2073544797241/"/>
    </mc:Choice>
  </mc:AlternateContent>
  <xr:revisionPtr revIDLastSave="0" documentId="13_ncr:1_{8C11B460-7263-CC44-A40D-93625B7CACF5}" xr6:coauthVersionLast="47" xr6:coauthVersionMax="47" xr10:uidLastSave="{00000000-0000-0000-0000-000000000000}"/>
  <bookViews>
    <workbookView xWindow="13460" yWindow="17800" windowWidth="35200" windowHeight="19080" activeTab="2" xr2:uid="{BB1187C3-6A8A-9D45-9EB8-169C0A8FB83D}"/>
  </bookViews>
  <sheets>
    <sheet name="Summary" sheetId="5" r:id="rId1"/>
    <sheet name="Detailed Criteria" sheetId="1" r:id="rId2"/>
    <sheet name="Summary Criteria - Capability" sheetId="6" r:id="rId3"/>
    <sheet name="Updated Criteria_March 2026" sheetId="8" r:id="rId4"/>
    <sheet name="Summary Criteria - Enterprise" sheetId="7" r:id="rId5"/>
    <sheet name="Reference" sheetId="2" r:id="rId6"/>
    <sheet name="Assignments" sheetId="4" r:id="rId7"/>
    <sheet name="Data Role Reference Model" sheetId="3" r:id="rId8"/>
  </sheets>
  <definedNames>
    <definedName name="_xlnm._FilterDatabase" localSheetId="2" hidden="1">'Summary Criteria - Capability'!$A$1:$A$11</definedName>
    <definedName name="CriteriaType">Reference!$E:$E</definedName>
    <definedName name="MaturityLevelDescription">Reference!$E$2:$G$7</definedName>
  </definedNames>
  <calcPr calcId="191028"/>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6" l="1"/>
  <c r="A67" i="1"/>
  <c r="A52" i="1"/>
  <c r="A30" i="1"/>
  <c r="A32" i="1"/>
  <c r="A5" i="1"/>
  <c r="A6" i="1"/>
  <c r="A15" i="1"/>
  <c r="A11" i="1"/>
  <c r="A10" i="1"/>
  <c r="A9" i="1"/>
  <c r="A3" i="1"/>
  <c r="A13" i="1"/>
  <c r="A4" i="1"/>
  <c r="A14" i="1"/>
  <c r="A12" i="1"/>
  <c r="A8" i="1"/>
  <c r="A24" i="1"/>
  <c r="A20" i="1"/>
  <c r="A25" i="1"/>
  <c r="A17" i="1"/>
  <c r="A18" i="1"/>
  <c r="A19" i="1"/>
  <c r="A23" i="1"/>
  <c r="A22" i="1"/>
  <c r="A21" i="1"/>
  <c r="A16" i="1"/>
  <c r="A38" i="1"/>
  <c r="A40" i="1"/>
  <c r="A33" i="1"/>
  <c r="A46" i="1"/>
  <c r="A43" i="1"/>
  <c r="A34" i="1"/>
  <c r="A28" i="1"/>
  <c r="A27" i="1"/>
  <c r="A39" i="1"/>
  <c r="A37" i="1"/>
  <c r="A31" i="1"/>
  <c r="A41" i="1"/>
  <c r="A26" i="1"/>
  <c r="A44" i="1"/>
  <c r="A49" i="1"/>
  <c r="A45" i="1"/>
  <c r="A50" i="1"/>
  <c r="A36" i="1"/>
  <c r="A29" i="1"/>
  <c r="A59" i="1"/>
  <c r="A57" i="1"/>
  <c r="A58" i="1"/>
  <c r="A60" i="1"/>
  <c r="A47" i="1"/>
  <c r="A56" i="1"/>
  <c r="A48" i="1"/>
  <c r="A55" i="1"/>
  <c r="A53" i="1"/>
  <c r="A51" i="1"/>
  <c r="A54" i="1"/>
  <c r="A65" i="1"/>
  <c r="A66" i="1"/>
  <c r="A69" i="1"/>
  <c r="A77" i="1"/>
  <c r="A79" i="1"/>
  <c r="A78" i="1"/>
  <c r="A80" i="1"/>
  <c r="A68" i="1"/>
  <c r="A70" i="1"/>
  <c r="A61" i="1"/>
  <c r="A72" i="1"/>
  <c r="A75" i="1"/>
  <c r="A62" i="1"/>
  <c r="A74" i="1"/>
  <c r="A76" i="1"/>
  <c r="A64" i="1"/>
  <c r="A71" i="1"/>
  <c r="A73" i="1"/>
  <c r="A7" i="1"/>
  <c r="B51" i="1"/>
  <c r="B59" i="1"/>
  <c r="B54" i="1"/>
  <c r="B55" i="1"/>
  <c r="B48" i="1"/>
  <c r="B56" i="1"/>
  <c r="B47" i="1"/>
  <c r="B60" i="1"/>
  <c r="B58" i="1"/>
  <c r="B57" i="1"/>
</calcChain>
</file>

<file path=xl/sharedStrings.xml><?xml version="1.0" encoding="utf-8"?>
<sst xmlns="http://schemas.openxmlformats.org/spreadsheetml/2006/main" count="908" uniqueCount="560">
  <si>
    <t>Count of Crieria Name</t>
  </si>
  <si>
    <t>Column Labels</t>
  </si>
  <si>
    <t>Row Labels</t>
  </si>
  <si>
    <t>Level 1</t>
  </si>
  <si>
    <t>Level 2</t>
  </si>
  <si>
    <t>Level 3</t>
  </si>
  <si>
    <t>Level 4</t>
  </si>
  <si>
    <t>Level 5</t>
  </si>
  <si>
    <t>#N/A</t>
  </si>
  <si>
    <t>Grand Total</t>
  </si>
  <si>
    <t>Business Intelligence &amp; Data Science</t>
  </si>
  <si>
    <t>Data Architecture, Modeling &amp; Design</t>
  </si>
  <si>
    <t>Data Governance</t>
  </si>
  <si>
    <t>Data Integration &amp; Interoperability</t>
  </si>
  <si>
    <t>Data Quality</t>
  </si>
  <si>
    <t>Data Security &amp; Privacy</t>
  </si>
  <si>
    <t>Data Storage &amp; Warehousing</t>
  </si>
  <si>
    <t>Document &amp; Content</t>
  </si>
  <si>
    <t>Master Data Management</t>
  </si>
  <si>
    <t>Metadata Management</t>
  </si>
  <si>
    <t>Reference Data Management</t>
  </si>
  <si>
    <t>(blank)</t>
  </si>
  <si>
    <t>Maturity Level</t>
  </si>
  <si>
    <t>Crieria Name</t>
  </si>
  <si>
    <t>Criteria</t>
  </si>
  <si>
    <t>Summary Question</t>
  </si>
  <si>
    <t>Detailed Question</t>
  </si>
  <si>
    <t>Rationale</t>
  </si>
  <si>
    <t>Related Activity (ies)</t>
  </si>
  <si>
    <t>Type</t>
  </si>
  <si>
    <t>Category</t>
  </si>
  <si>
    <t>Data Management Capability</t>
  </si>
  <si>
    <t>Architecture</t>
  </si>
  <si>
    <t>Suggested Validation Method</t>
  </si>
  <si>
    <t>Suggested Evidence</t>
  </si>
  <si>
    <t>Data Asset Identification</t>
  </si>
  <si>
    <t>The data assets that are used to support the capability have been identified.</t>
  </si>
  <si>
    <t>Has the SMA identified all of the data assets that are used to support the capability business processes?</t>
  </si>
  <si>
    <t>Ensures all data resources are accounted for and managed effectively.</t>
  </si>
  <si>
    <t>Initial</t>
  </si>
  <si>
    <t>Data Governance Assets</t>
  </si>
  <si>
    <t>Information Architecture</t>
  </si>
  <si>
    <t>Data Exchange Identification</t>
  </si>
  <si>
    <t xml:space="preserve">The data exchanges that support the capability have been defined and documented. </t>
  </si>
  <si>
    <t>Does the SMA integrate the information assets that support this capability into the enterprise and maintain interoperability?</t>
  </si>
  <si>
    <t>Has the SMA identified and documented the data exchanges that currently support the capability business processes?</t>
  </si>
  <si>
    <t>Enables effective management and governance of data flows between systems.</t>
  </si>
  <si>
    <t>Data Issues &amp; Anomaly Identification</t>
  </si>
  <si>
    <t>Known data anomalies and issues that impact the data assets have been identified, documented and are tracked.</t>
  </si>
  <si>
    <t>Does the SMA manage the quality of the information assets that support this capability?</t>
  </si>
  <si>
    <t>Has the SMA identified and documented the data anomalies and issues that impact the identified data asset(s)?</t>
  </si>
  <si>
    <t>Enables proactive resolution and monitoring of data quality issues, ensuring reliability and accuracy.</t>
  </si>
  <si>
    <t>Data Management Need Identification</t>
  </si>
  <si>
    <t>All associated data needs have been identified using data management capabilities.</t>
  </si>
  <si>
    <t>Does the SMA govern the information assets that support this capability?</t>
  </si>
  <si>
    <t>Has the SMA defined the data management needs for the capability business processes?</t>
  </si>
  <si>
    <t>Aligns data management activities with organizational objectives and stakeholder requirements.</t>
  </si>
  <si>
    <t>Data Profiling</t>
  </si>
  <si>
    <t xml:space="preserve">The data assets that are used to support the capability have been profiled. </t>
  </si>
  <si>
    <t>Has the SMA performed a data profile for the identified data assets?</t>
  </si>
  <si>
    <t>Provides insight into data quality, structure, and content to support informed data management decisions.</t>
  </si>
  <si>
    <t>Document Identification</t>
  </si>
  <si>
    <t>The documents that are needed to support the capability have been identified.</t>
  </si>
  <si>
    <t>Does the SMA manage the document and content information assets that support this capability?</t>
  </si>
  <si>
    <t>Has the SMA identified the documents that are needed to support the capability business processes?</t>
  </si>
  <si>
    <t>Supports complete documentation and knowledge</t>
  </si>
  <si>
    <t>Information Identification</t>
  </si>
  <si>
    <t>The associated concepts that are needed to support the capability  has been identified.</t>
  </si>
  <si>
    <t>Does the SMA manage the data architecture and models for the information assets that support this capability?</t>
  </si>
  <si>
    <t>Has the SMA identified the key data concepts that are needed to support the target capability business processes?</t>
  </si>
  <si>
    <t>Ensures that all necessary information is available to fulfill capability requirements.</t>
  </si>
  <si>
    <t>Master Data Modeling</t>
  </si>
  <si>
    <t>Master data approach (e.g. Master Data Rules) have been identified and implemented for the associated data.</t>
  </si>
  <si>
    <t>Does the SMA manage the master data that is needed to support this capability?</t>
  </si>
  <si>
    <t xml:space="preserve">Has the SMA </t>
  </si>
  <si>
    <t>Ensures consistent definition, management, and use of master data entities.</t>
  </si>
  <si>
    <t>Master Data Source Identification</t>
  </si>
  <si>
    <t>Master data sources, producers and consumers have been identified for the associated data.</t>
  </si>
  <si>
    <t>Has the SMA identified the impacted data sources and producers for the Master Data needed to support the target capability business processes?</t>
  </si>
  <si>
    <t>Supports effective master data management and integration.</t>
  </si>
  <si>
    <t>Measure Identification</t>
  </si>
  <si>
    <t xml:space="preserve">All measures and metrics needed to support reporting on the capability have been identified. </t>
  </si>
  <si>
    <t>Does the SMA provide business intelligence to support his capability?</t>
  </si>
  <si>
    <t>Has the SMA identified the measures and metrics that are needed to support reporting for the capability business processes?</t>
  </si>
  <si>
    <t>Ensures all relevant metrics are tracked for effective performance management.</t>
  </si>
  <si>
    <t>Reference Data Identification</t>
  </si>
  <si>
    <t xml:space="preserve">The reference data included in the data asset has been defined and documented. </t>
  </si>
  <si>
    <t>Does the SMA manage the reference data that is needed to support this capability?</t>
  </si>
  <si>
    <t>Has the SMA identified the reference data that are needed to support the capability business processes?</t>
  </si>
  <si>
    <t>Supports data consistency and effective use of reference data across systems.</t>
  </si>
  <si>
    <t>Report Identification</t>
  </si>
  <si>
    <t xml:space="preserve">All reports that are needed to support the capability have been identified. </t>
  </si>
  <si>
    <t>Has the SMA identified the reports that are needed to be produced to support the capability business processes?</t>
  </si>
  <si>
    <t>Guarantees reporting requirements are understood and supported by the data.</t>
  </si>
  <si>
    <t>Term &amp; Acronym Identification</t>
  </si>
  <si>
    <t>The associated business terms and acronyms have been defined.</t>
  </si>
  <si>
    <t>Has the SMA defined the key business terms and acronyms that are used to support the capability business processes?</t>
  </si>
  <si>
    <t>Reduces ambiguity and ensures common understanding of key terms across the enterprise.</t>
  </si>
  <si>
    <t>Artifact Review</t>
  </si>
  <si>
    <t>Business Glossary</t>
  </si>
  <si>
    <t>Content Taxonomy Identification</t>
  </si>
  <si>
    <t xml:space="preserve">A content taxonomy structure has been developed to organize the content needed to support the capability. </t>
  </si>
  <si>
    <t>Has the SMA developed a content taxonomy for organizing and storing content and document images to support the capability business processes?</t>
  </si>
  <si>
    <t>Enables consistent organization, discovery, and management of content across the enterprise.</t>
  </si>
  <si>
    <t>Developing</t>
  </si>
  <si>
    <t>Data Definition Development</t>
  </si>
  <si>
    <t xml:space="preserve">All data stored in the associated data assets (e.g. Data Files, Database) have been defined and documented.  </t>
  </si>
  <si>
    <t>Does the SMA manage the metadata for the information assets that support this capability?</t>
  </si>
  <si>
    <t>Has the SMA created detrailed data dictionaries to support the capability business processes?</t>
  </si>
  <si>
    <t>Ensures clear understanding and consistent use of data across the organization.</t>
  </si>
  <si>
    <t>Catalog known data assets</t>
  </si>
  <si>
    <t>Definition</t>
  </si>
  <si>
    <t>Data Dictionary / Data Catalog</t>
  </si>
  <si>
    <t>Data Lineage Development</t>
  </si>
  <si>
    <t>The lineage, including data transformations,  of the associated data assets have been documented and tracked.</t>
  </si>
  <si>
    <t>Has the SMA documented the lineage of the data assets that are used to support the capability business processes?</t>
  </si>
  <si>
    <t>Supports traceability, impact analysis, and data governance efforts.</t>
  </si>
  <si>
    <t>Data Security Classifications</t>
  </si>
  <si>
    <t>Data security and privacy classifications have been applied to all associated data</t>
  </si>
  <si>
    <t>Does the SMA manage the privacy and security of the information assets that support this capability?</t>
  </si>
  <si>
    <t>Has the SMA identified and applied security and privacy classifications to the data assets that are used to support the capabuility business processes?</t>
  </si>
  <si>
    <t>Protects sensitive information and ensures compliance with privacy regulations.</t>
  </si>
  <si>
    <t>Data Validation Rule Definition</t>
  </si>
  <si>
    <t>Data validation rules have been defined and implemented for the associated data.</t>
  </si>
  <si>
    <t>Has the SMA defined and implemented data validation rules for the data assets that are used to support the capability business processes?</t>
  </si>
  <si>
    <t>Ensures that the SMA is validating that data is fit for use as it is collected/created.</t>
  </si>
  <si>
    <t>Enterprise Data Reference Model Identification</t>
  </si>
  <si>
    <t>Enterprise data reference models (MITA DRM, Conceptual, Logical)  have been identified.</t>
  </si>
  <si>
    <t>Has the SMA identified and/or developed enterprise data reference models to support the capability business processes?</t>
  </si>
  <si>
    <t>Establishes a foundation for consistent data definitions and interoperability.</t>
  </si>
  <si>
    <t>Measure Definition</t>
  </si>
  <si>
    <t xml:space="preserve">All measure specifications that are included in the reports have been defined, mapped to the corresponding data elements  and are under formal control by the SMA. </t>
  </si>
  <si>
    <t xml:space="preserve">Has the SMA developed detailed measure specifications for all measures that are needed to support the reports used for the capability business processes? </t>
  </si>
  <si>
    <t>Ensures measures are consistent, reliable, and traceable to source data.</t>
  </si>
  <si>
    <t>Report Definition</t>
  </si>
  <si>
    <t xml:space="preserve">All reports that are needed to support the business have been defined, published and accessible to authorized stakeholders. </t>
  </si>
  <si>
    <t>Has the SMA defined and published the reports that are used for the capability business processes?</t>
  </si>
  <si>
    <t>Ensures reporting needs are met and information is readily available for decision-making.</t>
  </si>
  <si>
    <t>Structure Data Standards Identification</t>
  </si>
  <si>
    <t xml:space="preserve">All required structural data standards have been identified and aligned to associated data structures. </t>
  </si>
  <si>
    <t>Has the SMA defined and aligned the structural data standards that are needed to support the capability business processes?</t>
  </si>
  <si>
    <t>Ensures data structures are consistent and interoperable across systems and processes.</t>
  </si>
  <si>
    <t>Vocabulary Data Standard Identification</t>
  </si>
  <si>
    <t>All required vocabulary/reference data standards have been identified and aligned to associated reference data.</t>
  </si>
  <si>
    <t>Has the SMA defined and aligned the vocabulary/reference data standards that are needed to support the capabilkity business processes?</t>
  </si>
  <si>
    <t>Promotes standardization and interoperability by using common terminology and code sets.</t>
  </si>
  <si>
    <t>Analytical Data Storage</t>
  </si>
  <si>
    <t xml:space="preserve">The associated data is accessible to authorized stakeholders to easily support historical/analycal purposes. </t>
  </si>
  <si>
    <t>Does the SMA manage the storage and warehousing of the information assets that support this capability?</t>
  </si>
  <si>
    <t>Has the SMA made historical data available to authorized stakeholders to support required data analysis for the capability business processes?</t>
  </si>
  <si>
    <t>Supports business intelligence, reporting, and decision-making activities.</t>
  </si>
  <si>
    <t>Application Alignment</t>
  </si>
  <si>
    <t>The associated data have been mapped to the applications that access it.</t>
  </si>
  <si>
    <t>Has the SMA aligned and documented the relationship from the data assets to the applications that support the capability business processes?</t>
  </si>
  <si>
    <t>Enables effective management and integration of data across applications.</t>
  </si>
  <si>
    <t>Business Process Alignment</t>
  </si>
  <si>
    <t xml:space="preserve">The associated data has been mapped to the business processes that access it. </t>
  </si>
  <si>
    <t>Has the SMA aligned and documented the relationship from the data assets to the business processes for the capability?</t>
  </si>
  <si>
    <t>Ensures data supports business operations effectively and aligns with process requirements.</t>
  </si>
  <si>
    <t>Content Taxonomy Definition</t>
  </si>
  <si>
    <t xml:space="preserve">Content needed to support the capability have been aligned to the content taxonomy structure. </t>
  </si>
  <si>
    <t>Has the SMA aligned the content used to support the capability business processes to the content taxonomy?</t>
  </si>
  <si>
    <t>Ensures all content is categorized systematically, improving findability and alignment with taxonomy.</t>
  </si>
  <si>
    <t>Data Governance Role Identification</t>
  </si>
  <si>
    <t>Data governance roles (e.g. Data owners, custodians) have NOT been defined to support the information assets that support this capability.</t>
  </si>
  <si>
    <t>Data Governance Roles</t>
  </si>
  <si>
    <t>Data Impact Analysis</t>
  </si>
  <si>
    <t>The potential impacts and consequences on the SMA should certain events occur which jeapordize the confidentiality, integrity or availability of the associated data have been identified and is tracked.</t>
  </si>
  <si>
    <t>Has the SMA performed a data impact analysis on the data assets that are needed to support the capability business processes?</t>
  </si>
  <si>
    <t>Enables risk management and mitigation planning for data assets.</t>
  </si>
  <si>
    <t>Data Governance Role Definition</t>
  </si>
  <si>
    <t>Data governance roles (e.g. Data owners, custodians) have been defined  to support the information assets that support this capability.</t>
  </si>
  <si>
    <t>Data Performance Measure Definition</t>
  </si>
  <si>
    <t>Data performance measures and metrics (e.g. Data Quality, Data Accessibility) have been established to assess the performance of the associated data.</t>
  </si>
  <si>
    <t>Has the SMA established data performance measures (e.g. Data Quality Measures) for the data that supports the capability business processes?</t>
  </si>
  <si>
    <t>Provides a basis for monitoring, managing, and improving data quality and accessibility.</t>
  </si>
  <si>
    <t>Measurement</t>
  </si>
  <si>
    <t>Data Governance Role Assignments</t>
  </si>
  <si>
    <t xml:space="preserve">Data governance roles (e.g. Data owners, custodians) have been assigned for all associated data. </t>
  </si>
  <si>
    <t>Has the SMA identifeid the data governance roles that are needed to support the data assets used for the capability business processes?</t>
  </si>
  <si>
    <t>Establishes accountability and stewardship for data management activities.</t>
  </si>
  <si>
    <t>Role</t>
  </si>
  <si>
    <t>Data Retention</t>
  </si>
  <si>
    <t>Data retention schedules for each data type have been defined.</t>
  </si>
  <si>
    <t>Has the SMA established data retention policies for the data needed to support the capability business processes?</t>
  </si>
  <si>
    <t>Retention policies meet regulatory guidance and minimum necessary guidelines</t>
  </si>
  <si>
    <t> </t>
  </si>
  <si>
    <t>Management</t>
  </si>
  <si>
    <t>Data Management Policies</t>
  </si>
  <si>
    <t>Data Structure Standard Mapping</t>
  </si>
  <si>
    <t xml:space="preserve">Mapping specifications have been established for all data exchanges  to the associated structure data standard if the data exchange deviates from the defined data structure standard. </t>
  </si>
  <si>
    <t>Has the SMA established mapping specifications for all data exchanges to the structural standards that are needed to support the capability business processes?</t>
  </si>
  <si>
    <t>Ensures continued interoperability when data exchanges do not fully conform to standards.</t>
  </si>
  <si>
    <t>Document Text Conversion</t>
  </si>
  <si>
    <t>All documents are translated into machine-readable text and is accessible to authroized stakeholders</t>
  </si>
  <si>
    <t>Has the SMA translated and made available to all authorized stakeholders all documents used to support the capability business processes into machine-readable text?</t>
  </si>
  <si>
    <t>Increases accessibility and enables automated data processing and analysis.</t>
  </si>
  <si>
    <t>Enterprise Data Model Alignment</t>
  </si>
  <si>
    <t xml:space="preserve">All data stored in the associated data stores align to enterprise data reference models and definitions. (e.g. Enterprise Conceptual Data Model/Logical Data Model) </t>
  </si>
  <si>
    <t>Has the SMA aligned the data assets used to support the capability business processes to enterprise data reference models and definitions?</t>
  </si>
  <si>
    <t>Promotes consistency, reuse, and clarity of data definitions across the enterprise.</t>
  </si>
  <si>
    <t>- Develop Enterprise Conceptual Data Model 
- Develop Enterprise Logical Data Model
- Map Current Data to Enterprise Conceptual Data Model
- Map Current Data to Enterprise Logical Data Model</t>
  </si>
  <si>
    <t>Mapping Specification</t>
  </si>
  <si>
    <t>Mastered Data</t>
  </si>
  <si>
    <t xml:space="preserve">There is a golden record established for all associated entities (e.g. Member, Provider) and the SMA can identify unique entities. </t>
  </si>
  <si>
    <t xml:space="preserve">Has the SMA established a mastered "golden record" for all entities (e.g. Member, Provider) that are included in the data assets that support the capability business processes? </t>
  </si>
  <si>
    <t>Provides a single, trusted source of truth for critical data entities.</t>
  </si>
  <si>
    <t>MITA Data Reference Model Alignment</t>
  </si>
  <si>
    <t xml:space="preserve">All data stored in the associated data stores align to the MITA 4.0 Data Reference Model. </t>
  </si>
  <si>
    <t>Has the SMA aligned the data assets used to support the capability business processes to MITA Data Reference Model?</t>
  </si>
  <si>
    <t xml:space="preserve">Enables the SMA to work with other SMA's and CMS to identify leverage, reuse and standardization opportunities. </t>
  </si>
  <si>
    <t>Standardization</t>
  </si>
  <si>
    <t>Operational Data Storage</t>
  </si>
  <si>
    <t xml:space="preserve">The associated data is accessible to authroized stakeholders to easily support day-to-day operations. </t>
  </si>
  <si>
    <t>Has the SMA made the operational data accessessible for the authorized stakeholders that support the capability business processes?</t>
  </si>
  <si>
    <t>Ensures timely and reliable access to data for operational needs.</t>
  </si>
  <si>
    <t>PHI / PII / Sensitive Data Identified</t>
  </si>
  <si>
    <t>he relevant business entities which contain Personally Identifiable Information (PII) or Protected Health Information (PHI) or other sensitive information have been identified.</t>
  </si>
  <si>
    <t>Has the SMA identifeid the PII and PHI that is contained within the data assets that support the capability business processes?</t>
  </si>
  <si>
    <t>PHI / PII and Sensitive data require additional security access controls and may require masking or obfuscation capability.</t>
  </si>
  <si>
    <t>Reference Data Definition</t>
  </si>
  <si>
    <t xml:space="preserve">All associated reference data (e.g. Code Sets, Code Values) have been defined and aligned to their associated data elements. </t>
  </si>
  <si>
    <t>Has the SMA defined the reference data for each applicable data asset that supports the capability business processes?</t>
  </si>
  <si>
    <t>Ensures consistency and clarity in the use of reference data across systems.</t>
  </si>
  <si>
    <t>Report Data Source Tracking</t>
  </si>
  <si>
    <t xml:space="preserve">The data needed to support each report has been identfiied and is being tracked by the SMA to identify data impacts on reporting. </t>
  </si>
  <si>
    <t>Has the SMA identified the specific data elements that are needed to support the reports for the capability business processes?</t>
  </si>
  <si>
    <t>Maintains report accuracy and integrity by linking reports to their data sources.</t>
  </si>
  <si>
    <t>Target Data Quality Measure Development</t>
  </si>
  <si>
    <t xml:space="preserve">The associated information has target data quality levels have been established. </t>
  </si>
  <si>
    <t>Has the SMA established target data quality levels for the data assets that support the capability business processes?</t>
  </si>
  <si>
    <t>Provides clear quality expectations to guide data management and improvement.</t>
  </si>
  <si>
    <t>Vocabulary Data Standard Crosswalks</t>
  </si>
  <si>
    <t xml:space="preserve">Crosswalks have been established for all reference code sets that deviate from the required vocabulary/reference data standards. </t>
  </si>
  <si>
    <t>Has the SMA established crosswalks for all reference code values that impact the capability business processes?</t>
  </si>
  <si>
    <t>Facilitates data integration and interoperability when standards differ.</t>
  </si>
  <si>
    <t xml:space="preserve">A MITA maturity assessment has been performed to assess the enterprise business intelligence &amp; data science capability. </t>
  </si>
  <si>
    <t>Has the SMA performed an enterprise business intelligence maturity assessment and identified how it supports the capability business processes?</t>
  </si>
  <si>
    <t>Identifies gaps and opportunities in business intelligence and data science practices.</t>
  </si>
  <si>
    <t>Managed</t>
  </si>
  <si>
    <t xml:space="preserve">A MITA maturity assessment has been performed to assess the enterprise Data Architecture, Modeling &amp; Design capability. </t>
  </si>
  <si>
    <t>Has the SMA performed an enterprise data architecture, modeling and design maturity assessment and identified how it supports the capability business process?</t>
  </si>
  <si>
    <t>Identifies strengths and gaps in data architecture and modeling for improvement.</t>
  </si>
  <si>
    <t>Data Performance Baseline</t>
  </si>
  <si>
    <t xml:space="preserve">A baseline assessment has been performed to assess the current performance of the data based on the identified data performance measures. </t>
  </si>
  <si>
    <t>Has the SMA performed an assessment on the performance of the data (i.e. Data quality assessment) that supports the capability business processes?</t>
  </si>
  <si>
    <t>Establishes a reference point for measuring data performance improvements over time.</t>
  </si>
  <si>
    <t>Data Performance Standards</t>
  </si>
  <si>
    <t xml:space="preserve">Data performance standards have been established for the identified data performance measures. </t>
  </si>
  <si>
    <t>Has the SMA established data performance standards for the data that supports the capability business processes?</t>
  </si>
  <si>
    <t>Sets clear expectations for data quality and performance across the organization.</t>
  </si>
  <si>
    <t xml:space="preserve">A MITA maturity assessment has been performed to assess the enterprise data integration &amp; interoperability capability. </t>
  </si>
  <si>
    <t>Has the SMA performed an enterprise data integration and interoperability maturity assessment and identified how it supports the capability business processes?</t>
  </si>
  <si>
    <t>Identifies integration and interoperability strengths and areas needing improvement.</t>
  </si>
  <si>
    <t>Data Governance Performance Standards</t>
  </si>
  <si>
    <t xml:space="preserve">Data governance performance standards have been established for the information assets that support this capability. </t>
  </si>
  <si>
    <t>Data Governance Performance</t>
  </si>
  <si>
    <t>Data Quality Assessments</t>
  </si>
  <si>
    <t xml:space="preserve">Data quality assessments are performed and reported to impacted data users and producers to regularly to monitor the quality of the data. </t>
  </si>
  <si>
    <t>Does the SMA perform regular data quality assessments on the data that supports the capability business processes using the predefined data performance measures and standards?</t>
  </si>
  <si>
    <t>Enables proactive identification and resolution of data quality issues, ensuring data reliability.</t>
  </si>
  <si>
    <t xml:space="preserve">A MITA maturity assessment has been performed to assess the enterprise data quality capability. </t>
  </si>
  <si>
    <t>Has the SMA performed an enterprise data quality maturity assessment and identified how it supports the capability business processes?</t>
  </si>
  <si>
    <t>Provides an understanding of current data quality management practices and needs.</t>
  </si>
  <si>
    <t>A MITA maturity assessment has been performed to assess the enterprise data security &amp; privacy capability.</t>
  </si>
  <si>
    <t>Has the SMA performed an enterprise data security &amp; privacy maturity assessment and identified how it supports the capability business processes?</t>
  </si>
  <si>
    <t>Ensures data security and privacy practices are assessed and improved as needed.</t>
  </si>
  <si>
    <t>A MITA maturity assessment has been performed to assess the enterprise Data Storage &amp; Warehousing capability.</t>
  </si>
  <si>
    <t>Has the SMA performed an enterprise data storage &amp; warehousing maturity assessment and identified how it supports the capability business processes?</t>
  </si>
  <si>
    <t>Guides improvements in data storage and warehousing practices.</t>
  </si>
  <si>
    <t>A MITA maturity assessment has been performed to assess the enterprise document &amp; content management capability.</t>
  </si>
  <si>
    <t>Has the SMA performed an enterprise document and content management maturity assessment and identified how it supports the capability business processes?</t>
  </si>
  <si>
    <t>Identifies capability gaps and improvement opportunities for document management.</t>
  </si>
  <si>
    <t xml:space="preserve">A MITA maturity assessment has been performed to assess the enterprise master data management capability. </t>
  </si>
  <si>
    <t>Has the SMA performed an enterprise master data management maturity assessment and identified how it supports the capability business processes?</t>
  </si>
  <si>
    <t>Provides insight into master data management maturity and needs for advancement.</t>
  </si>
  <si>
    <t xml:space="preserve">A MITA maturity assessment has been performed to assess the enterprise metadata management capability. </t>
  </si>
  <si>
    <t>Has the SMA performed an enterprise metadata management maturity assessment and identified how it supports the capability business processes?</t>
  </si>
  <si>
    <t>Helps identify maturity level and areas for metadata management improvement.</t>
  </si>
  <si>
    <t xml:space="preserve">A MITA maturity assessment has been performed to assess the enterprise reference data management capability. </t>
  </si>
  <si>
    <t>Has the SMA performed an enterprise reference data management maturity assessment and identified how it supports the capability business processes?</t>
  </si>
  <si>
    <t>Assesses reference data management practices for alignment and improvement.</t>
  </si>
  <si>
    <t>Business Intelligence &amp; Data Science Maturity Improvement</t>
  </si>
  <si>
    <t xml:space="preserve">Improvement plans have been developed and implemented to address gaps in the SMA's business intelligence and data science maturity and the impacted data is aligned to the enterprise vision for improving business intelligece and data science. </t>
  </si>
  <si>
    <t>Does the SMA regularly identify and implement business intelligence and data science improvement plans based on maturity/performance gaps that improve business intelligence for the impacted capability business processes?</t>
  </si>
  <si>
    <t>Enhances data-driven decision making through targeted improvement in BI and data science practices.</t>
  </si>
  <si>
    <t>Optimizing</t>
  </si>
  <si>
    <t>Data Architecture, Modeling &amp; Design Maturity Improvement</t>
  </si>
  <si>
    <t xml:space="preserve">Improvement plans have been developed and implemented to address gaps in the SMA's data architecture &amp; modeling maturity and the impacted data is aligned to the enterprise vision for improving data architecture and modeling. </t>
  </si>
  <si>
    <t>Does the SMA regularly identify and implement data architecture and modeling improvement plans based on maturity/performance gaps that improve data architecture and modeling for the impacted capability business processes?</t>
  </si>
  <si>
    <t>Enables robust, scalable, and well-integrated data systems through improved architecture and modeling.</t>
  </si>
  <si>
    <t>Data Evolution</t>
  </si>
  <si>
    <t>There are structured processes for handling changes to master data definitions or entities.</t>
  </si>
  <si>
    <t>Changes in data definition and availability are controlled and managed.</t>
  </si>
  <si>
    <t>Data Integration &amp; Interoperability Maturity Improvement</t>
  </si>
  <si>
    <t xml:space="preserve">Improvement plans have been developed and implemented to address gaps in the SMA's data integration &amp; interoperability maturity and the impacted data is aligned to the enterprise vision for improving data integration &amp; Interoperability. </t>
  </si>
  <si>
    <t>Does the SMA regularly identify and implement data integration &amp; interoperability improvement plans based on maturity/performance gaps that improve data integration &amp; interoperability for the impacted capability business processes?</t>
  </si>
  <si>
    <t>Facilitates seamless data sharing and exchange across platforms and organizations.</t>
  </si>
  <si>
    <t>Data Governance Capability Assessment</t>
  </si>
  <si>
    <t>An assessment has been performed to assess the enterprise data governance capability.</t>
  </si>
  <si>
    <t>Has the SMA performed an enterprise data governance maturity assessment and identified how it supports the capability business processes?</t>
  </si>
  <si>
    <t>Identifies strengths and gaps in data governance for targeted improvement.</t>
  </si>
  <si>
    <t>Data Performance Assessment</t>
  </si>
  <si>
    <t>An assessment is performed regularly (e.g. Monthly) to assess the performance of the data using predefined data performance measures.</t>
  </si>
  <si>
    <t>Does the SMA perform regular data performance assessments on the data that supports the capability business processes using the predefined data performance measures and standards?</t>
  </si>
  <si>
    <t>Ensures ongoing monitoring and management of data performance to meet business needs.</t>
  </si>
  <si>
    <t>Data Governance Performance Assessment</t>
  </si>
  <si>
    <t>An assessment is performed regularly (e.g. Monthly) to assess the performance of the information assets that support this capability using predefined data governance performance measures.</t>
  </si>
  <si>
    <t>Data Governance Maturity Improvement</t>
  </si>
  <si>
    <t xml:space="preserve">Improvement plans have been developed and implementation initiated to address gaps in the SMA's data governance maturity and the impacted data is aligned to the enterprise vision for improving data governance. </t>
  </si>
  <si>
    <t>Does the SMA regularly identify and implement data governance improvement plans based on maturity/performance gaps that improvedata governance for the impacted capability business processes?</t>
  </si>
  <si>
    <t>Ensures continuous advancement of data governance capabilities to support enterprise objectives.</t>
  </si>
  <si>
    <t>Data Governance Maturity</t>
  </si>
  <si>
    <t>Data Quality Improvement</t>
  </si>
  <si>
    <t xml:space="preserve">Data quality improvement plans are developed and implemented to address known data quality issues. </t>
  </si>
  <si>
    <t>Does the SMA regularly develop and implement improvement plans based on data quality assessment gaps that improve the quality of data that impact the capability business processes?</t>
  </si>
  <si>
    <t>Supports continuous improvement of data quality to meet business and regulatory needs.</t>
  </si>
  <si>
    <t>Data Quality Maturity Improvement</t>
  </si>
  <si>
    <t xml:space="preserve">Improvement plans have been developed and implementation initiated to address gaps in the SMA's data quality maturity and the impacted data is aligned to the enterprise vision for improving data quality. </t>
  </si>
  <si>
    <t>Does the SMA regularly identify and implement data quality management improvement plans based on maturity/performance gaps that improve data quality management for the impacted capability business processes?</t>
  </si>
  <si>
    <t>Drives consistent improvement of data quality aligned to enterprise goals and standards.</t>
  </si>
  <si>
    <t>Data Security &amp; Privacy Maturity Improvement</t>
  </si>
  <si>
    <t xml:space="preserve">Improvement plans have been developed and implemented to address gaps in the SMA's data security &amp; privacy maturity and the impacted data is aligned to the enterprise vision for improving data security &amp; privacy. </t>
  </si>
  <si>
    <t>Does the SMA regularly identify and implement data security &amp; privacy management improvement plans based on maturity/performance gaps that improve data security &amp; privacy management  for the impacted capability business processes?</t>
  </si>
  <si>
    <t>Strengthens protection of sensitive data and compliance with privacy regulations.</t>
  </si>
  <si>
    <t>Data Storage &amp; Warehousing Maturity Improvement</t>
  </si>
  <si>
    <t xml:space="preserve">Improvement plans have been developed and implemented to address gaps in the SMA's data storage and warehousing maturity and the impacted data is aligned to the enterprise vision for improving data storage and warehousing. </t>
  </si>
  <si>
    <t>Does the SMA regularly identify and implement data storage &amp; warehousing improvement plans based on maturity/performance gaps that improve data storage &amp; warehousing management  for the impacted capability business processes?</t>
  </si>
  <si>
    <t>Improves storage, accessibility, and management of data assets for business needs.</t>
  </si>
  <si>
    <t>Document &amp; Content Maturity Improvement</t>
  </si>
  <si>
    <t xml:space="preserve">Improvement plans have been developed and implemented to address gaps in the SMA's document &amp; content management maturity and the impacted data is aligned to the enterprise vision for improving document &amp; content. </t>
  </si>
  <si>
    <t>Does the SMA regularly identify and implement document &amp; content management improvement plans based on maturity/performance gaps that improve document &amp; content  management  for the impacted capability business processes?</t>
  </si>
  <si>
    <t>Ensures efficient, secure, and accessible management of documents and content.</t>
  </si>
  <si>
    <t>Master Data Management Maturity Improvement</t>
  </si>
  <si>
    <t xml:space="preserve">Improvement plans have been developed and implemented to address gaps in the SMA's master data management maturity and the impacted data is aligned to the enterprise vision for improving master data management. </t>
  </si>
  <si>
    <t>Does the SMA regularly identify and implement master data management improvement plans based on maturity/performance gaps that improve master data management  for the impacted capability business processes?</t>
  </si>
  <si>
    <t>Ensures trusted, consistent, and authoritative master data across the organization.</t>
  </si>
  <si>
    <t>Metadata Management Maturity Improvement</t>
  </si>
  <si>
    <t xml:space="preserve">Improvement plans have been developed and implemented to address gaps in the SMA's metadata management maturity and the impacted data is aligned to the enterprise vision for improving metadata. </t>
  </si>
  <si>
    <t>Does the SMA regularly identify and implement metadata management improvement plans based on maturity/performance gaps that improve metadata management  for the impacted capability business processes?</t>
  </si>
  <si>
    <t>Strengthens metadata management to improve data discoverability and usability.</t>
  </si>
  <si>
    <t>Reference Data Management Maturity Improvement</t>
  </si>
  <si>
    <t xml:space="preserve">Improvement plans have been developed and implemented to address gaps in the SMA's reference data management maturity and the impacted data is aligned to the enterprise vision for improving reference data. </t>
  </si>
  <si>
    <t>Does the SMA regularly identify and implement reference data management improvement plans based on maturity/performance gaps that improve reference data management  for the impacted capability business processes?</t>
  </si>
  <si>
    <t>Promotes standardization and effective management of reference data across systems.</t>
  </si>
  <si>
    <t>Data Management Capability Maturity Assessment</t>
  </si>
  <si>
    <t xml:space="preserve">All impacted data management capabilities have been assessed for maturity including gaps and improvement opportunities. </t>
  </si>
  <si>
    <t>Has the SMA perform an enterprise maturity assessment for all data management capabilities that impact the capability business processes?</t>
  </si>
  <si>
    <t>Enables comprehensive planning for data management capability improvement.</t>
  </si>
  <si>
    <t>Data Performance Corrections</t>
  </si>
  <si>
    <t>Data performance improvement plans are developed to address gaps in data performance.</t>
  </si>
  <si>
    <t>Does the SMA regularly identify improvement plans based on data performance assessment gaps that improve the performance of data that impact the capability business processes?</t>
  </si>
  <si>
    <t>Drives systematic resolution of data performance issues to achieve desired standards.</t>
  </si>
  <si>
    <t>Data Performance Gap Analysis</t>
  </si>
  <si>
    <t>A gap analysis is regularly performed to assess the gaps between the target performance standards and the identified performance indicators.</t>
  </si>
  <si>
    <t>Does the SMA regularly perform a gap analysis between the baseline and target data performance standards established for the data for the impacted capability business processes?</t>
  </si>
  <si>
    <t>Identifies areas where data performance falls short, guiding targeted improvement efforts.</t>
  </si>
  <si>
    <t xml:space="preserve">Data Performance Improvement </t>
  </si>
  <si>
    <t xml:space="preserve">Data performance improvement plans have been implemented and has resulted in improvements in the data performance. </t>
  </si>
  <si>
    <t>Does the SMA regularly implement improvement plans based on data performance assessment gaps that improve the performance of data that impact the capability business processes?</t>
  </si>
  <si>
    <t>Demonstrates effective action and value in closing data performance gaps.</t>
  </si>
  <si>
    <t>Summary Question - Capability Level</t>
  </si>
  <si>
    <t xml:space="preserve">o Storage locations for the information assets that support this capability have been identified and documented.
o Basic storage and warehousing requirements for these information assets have been defined.
</t>
  </si>
  <si>
    <t xml:space="preserve">o Storage and warehousing procedures have been defined and documented.
o Roles and responsibilities for managing the storage and warehousing of these information assets have been defined.
o Storage and warehousing standards and conventions (such as structure, naming, or access rules) have been defined for the information assets
</t>
  </si>
  <si>
    <t>o Storage and warehousing roles for this capability have been assigned to individuals, and they are actively performing their responsibilities.
o Storage and warehousing standards and conventions have been adopted and are applied to the information assets that support this capability.
o Storage and warehousing performance measures have been established for these information assets.</t>
  </si>
  <si>
    <t>o Storage and warehousing performance and maturity assessments are conducted regularly for the information assets that support this capability.
o Root cause analysis is performed and documented for issues affecting the storage or warehousing of the information assets.</t>
  </si>
  <si>
    <t>o Storage and warehousing improvement activities needed to increase performance and maturity are regularly identified and carried out for the information assets that support this capability.</t>
  </si>
  <si>
    <r>
      <rPr>
        <b/>
        <sz val="12"/>
        <color rgb="FF000000"/>
        <rFont val="Aptos Narrow"/>
        <scheme val="minor"/>
      </rPr>
      <t xml:space="preserve">Data Architecture &amp; Modeling
</t>
    </r>
    <r>
      <rPr>
        <sz val="12"/>
        <color rgb="FF000000"/>
        <rFont val="Aptos Narrow"/>
        <scheme val="minor"/>
      </rPr>
      <t>Does the SMA manage the data architecture and models for the information assets that support this capability?</t>
    </r>
  </si>
  <si>
    <t>o The data architecture components needed to support this capability have been identified and documented.
o Basic data modeling requirements for the information assets that support this capability have been defined.</t>
  </si>
  <si>
    <t>o Data architecture and data modeling procedures for how each information asset is structured and represented have been defined and documented.
o Roles and responsibilities for managing the data architecture and data models for these information assets have been defined.
o Data architecture standards, modeling conventions, and reference structures needed to support these information assets have been defined.</t>
  </si>
  <si>
    <t>o Data architecture and data modeling roles for this capability have been assigned to individuals, and those individuals are actively performing their responsibilities.
o Data architecture standards, modeling conventions, and reference structures have been adopted and applied to the information assets that support this capability.
o Data architecture and modeling performance measures have been established for these information assets.</t>
  </si>
  <si>
    <t>o Data architecture and modeling performance assessments are conducted regularly for the information assets that support this capability.
o Root cause analysis is performed and documented for issues affecting the data architecture or models of the information assets.</t>
  </si>
  <si>
    <t>o Data architecture and modeling improvement activities needed to increase performance and maturity are regularly identified and carried out for the information assets that support this capability.</t>
  </si>
  <si>
    <r>
      <rPr>
        <b/>
        <sz val="12"/>
        <color rgb="FF000000"/>
        <rFont val="Aptos Narrow"/>
        <scheme val="minor"/>
      </rPr>
      <t xml:space="preserve">Document &amp; Content Management
</t>
    </r>
    <r>
      <rPr>
        <sz val="12"/>
        <color rgb="FF000000"/>
        <rFont val="Aptos Narrow"/>
        <scheme val="minor"/>
      </rPr>
      <t>Does the SMA manage the document and content information assets that support this capability?</t>
    </r>
  </si>
  <si>
    <t>o The document and content information assets needed to support this capability have been identified and documented.
o Basic document and content management requirements for these information assets have been defined.</t>
  </si>
  <si>
    <t>o Procedures for how each document and content asset is created, stored, updated, and archived have been defined and documented.
o Roles and responsibilities for managing document and content information assets for this capability have been defined.</t>
  </si>
  <si>
    <t>o Document and content management roles for this capability have been assigned to individuals, and those individuals are actively performing their responsibilities.
o Document and content management standards, conventions, and retention rules have been adopted and applied to the information assets that support this capability.
o Document and content management performance measures have been established for these information assets.</t>
  </si>
  <si>
    <t>o Document and content management performance assessments and maturity assessments are conducted regularly for the information assets that support this capability.
o Root cause analysis is performed and documented for issues affecting the document and content information assets.</t>
  </si>
  <si>
    <t>o Document and content management improvement activities needed to increase performance and maturity are regularly identified and carried out for the information assets that support this capability.</t>
  </si>
  <si>
    <r>
      <rPr>
        <b/>
        <sz val="12"/>
        <color rgb="FF000000"/>
        <rFont val="Aptos Narrow"/>
      </rPr>
      <t>Data Governance</t>
    </r>
    <r>
      <rPr>
        <sz val="12"/>
        <color rgb="FF000000"/>
        <rFont val="Aptos Narrow"/>
        <family val="2"/>
      </rPr>
      <t xml:space="preserve">
Does the SMA govern the information assets that support this capability?</t>
    </r>
  </si>
  <si>
    <t xml:space="preserve">- Information assets needed to support the capability have been identified and documented. 
- Data governance requirements for the information assets for this capability have been defined. </t>
  </si>
  <si>
    <t>- Definition for how each informaiton asset is used has been defined and documented.
- Data governance roles and responsibilities needed to support the information assets for this capability have been defined. 
- Data policies, standards, reference models and specifications needed to support the information assets for this capability have been defined.
- Data issues that impact the information assets for this capability have been defined and documented.</t>
  </si>
  <si>
    <t xml:space="preserve">- Data governance roles needed to support this capability have been assigned to individuals and they are actively performing their assigned responsibilities.
- Data governance informaiton is stored centrally and accessible to key stakeholders that need access to it. 
- Data policies, standards, reference models and specifications have been adopted and aligned to the information assets for this capability.
- Data governance performance measures and standards have been established to support the information assets for this capability.
</t>
  </si>
  <si>
    <t xml:space="preserve">- Data governance performance assessments are performed regularly on the information assets for this capability.
- Enterprise data governance capability maturity assessments are performed and aligned to the information assets for this capability.
- Root cause analysis for the data issues that impact the information assets for the capability  have been performed and documented. </t>
  </si>
  <si>
    <t>- Data governance activities needed to improve the performance and maturity of data governance of the information assets for this capability are regularly identified and performed.</t>
  </si>
  <si>
    <r>
      <rPr>
        <b/>
        <sz val="12"/>
        <color rgb="FF000000"/>
        <rFont val="Aptos Narrow"/>
        <scheme val="minor"/>
      </rPr>
      <t xml:space="preserve">Data Privacy &amp; Security
</t>
    </r>
    <r>
      <rPr>
        <sz val="12"/>
        <color rgb="FF000000"/>
        <rFont val="Aptos Narrow"/>
        <scheme val="minor"/>
      </rPr>
      <t>Does the SMA manage the privacy and security of the information assets that support this capability?</t>
    </r>
  </si>
  <si>
    <t>o Privacy and security requirements for the information assets that support this capability have been identified and documented.
o Basic protections (such as access restrictions or password controls) for these information assets have been defined.</t>
  </si>
  <si>
    <t>o Procedures for how each information asset is protected, accessed, transmitted, and stored have been defined and documented.
o Privacy and security roles and responsibilities for managing these information assets have been defined.
o Privacy and security policies, standards, and controls (such as encryption requirements, data handling rules, and access control standards) have been defined.</t>
  </si>
  <si>
    <t>o Privacy and security roles for this capability have been assigned to individuals, and those individuals are actively performing their responsibilities.
o Privacy and security policies, standards, and controls have been adopted and applied to the information assets that support this capability.
o Privacy and security performance measures have been established for these information assets.</t>
  </si>
  <si>
    <t>o Privacy and security performance assessments and maturity assessments are performed regularly for the information assets that support this capability.
o Root cause analysis is performed and documented for privacy and security incidents or issues affecting these information assets.</t>
  </si>
  <si>
    <t>o Privacy and security improvement activities needed to increase performance and maturity are regularly identified and carried out for the information assets that support this capability.</t>
  </si>
  <si>
    <r>
      <rPr>
        <b/>
        <sz val="12"/>
        <color rgb="FF000000"/>
        <rFont val="Aptos Narrow"/>
      </rPr>
      <t xml:space="preserve">Data Quality
</t>
    </r>
    <r>
      <rPr>
        <sz val="12"/>
        <color rgb="FF000000"/>
        <rFont val="Aptos Narrow"/>
      </rPr>
      <t>Does the SMA manage the quality of the information assets that support this capability?</t>
    </r>
  </si>
  <si>
    <r>
      <rPr>
        <sz val="10"/>
        <color rgb="FFBE5014"/>
        <rFont val="Aptos Narrow"/>
      </rPr>
      <t>o The data quality requirements for the information assets that support this capability have been identified and documented.
o Basic expectations for accuracy, completeness, consistency, and timeliness have been defined</t>
    </r>
    <r>
      <rPr>
        <sz val="10"/>
        <color rgb="FF000000"/>
        <rFont val="Aptos Narrow"/>
      </rPr>
      <t>.</t>
    </r>
  </si>
  <si>
    <t>o Procedures for how data quality is monitored, measured, and corrected for each information asset have been defined and documented.
o Roles and responsibilities for managing data quality for these information assets have been defined.
o Data quality standards, business rules, and validation requirements have been established.</t>
  </si>
  <si>
    <t>o Data quality roles for this capability have been assigned to individuals, and those individuals are actively performing their responsibilities.
o Data quality standards and business rules have been adopted and are consistently applied to the information assets that support this capability.
o Data quality performance measures and thresholds have been established for these information assets.</t>
  </si>
  <si>
    <t>o Data quality performance assessments and maturity assessments are regularly conducted for the information assets that support this capability.
o Root cause analysis is performed and documented for data quality issues or defects affecting these information assets.</t>
  </si>
  <si>
    <t>o Data quality improvement activities needed to increase performance and maturity are regularly identified, prioritized, and carried out for the information assets that support this capability.</t>
  </si>
  <si>
    <r>
      <rPr>
        <b/>
        <sz val="12"/>
        <color rgb="FF000000"/>
        <rFont val="Aptos Narrow"/>
        <scheme val="minor"/>
      </rPr>
      <t xml:space="preserve">Data Integration &amp; Interoperoperability
</t>
    </r>
    <r>
      <rPr>
        <sz val="12"/>
        <color rgb="FF000000"/>
        <rFont val="Aptos Narrow"/>
        <scheme val="minor"/>
      </rPr>
      <t>Does the SMA integrate the information assets that support this capability into the enterprise and maintain interoperability?</t>
    </r>
  </si>
  <si>
    <t>- Data exchanges needed for this capability have been idenfied.</t>
  </si>
  <si>
    <t xml:space="preserve">- Structural/Transaction standards needed to support this capability have been defined and documented.
- Mapping specifications needed to support the integration of each structure/transaction have been identified. </t>
  </si>
  <si>
    <t>- Structure/Transaction data standards have been adopted and implemented
- Transaction data is actively being received and integrated into the enterprise and is accessible to key stakeholders that need access to it. 
- Data integration &amp; interoperability performance measures and standards have been established to support this capability.</t>
  </si>
  <si>
    <t xml:space="preserve">- Data Integration &amp; interoperability performance assessments are performed regulary on the information assets for this capabuility.
- Enterprise data integration &amp; interoperability capability maturity assessments are performed and aligned to the information assets for this capability. </t>
  </si>
  <si>
    <t>•	The SMA continuously identifies and implements improvement initiatives aimed at enhancing integration performance and interoperability maturity.
•	Practices such as automation of data exchanges, adoption of emerging standards, and reuse of integration components are regularly pursued.
•	Progress and impact of improvement activities are measured through key performance indicators (KPIs), and lessons learned are integrated into future initiatives to sustain growth in integration maturity.</t>
  </si>
  <si>
    <r>
      <rPr>
        <b/>
        <sz val="12"/>
        <color rgb="FF000000"/>
        <rFont val="Aptos Narrow"/>
        <scheme val="minor"/>
      </rPr>
      <t xml:space="preserve">Master Data Management
</t>
    </r>
    <r>
      <rPr>
        <sz val="12"/>
        <color rgb="FF000000"/>
        <rFont val="Aptos Narrow"/>
        <scheme val="minor"/>
      </rPr>
      <t>Does the SMA manage the master data that is needed to support this capability?</t>
    </r>
  </si>
  <si>
    <t>- Master data entities needed to support the capability have been identified.
- Master data management requirement to support this capability have been defined.</t>
  </si>
  <si>
    <t>- The data sources that impact the master data for this capability have been identified.
- Master data rules/logic  that support this capability have been defined and documented.</t>
  </si>
  <si>
    <t xml:space="preserve">- Mastered data is accessible to the key stakeholders that need it to suppor this capability. 
- Master data performance measures and standards have been established to support this capability. </t>
  </si>
  <si>
    <t xml:space="preserve">- Master data management performance assessments are performed regularly on the information assets for this capability.
- Enterprise master data management capability maturty assessments are performed and aligned to the information assets for this capability. </t>
  </si>
  <si>
    <t xml:space="preserve">- Activities needed to improve the performance and maturity of master data management of the information assets for this capability are regularly identified and performed. </t>
  </si>
  <si>
    <r>
      <rPr>
        <b/>
        <sz val="12"/>
        <color rgb="FF000000"/>
        <rFont val="Aptos Narrow"/>
        <scheme val="minor"/>
      </rPr>
      <t xml:space="preserve">Reference Data Management
</t>
    </r>
    <r>
      <rPr>
        <sz val="12"/>
        <color rgb="FF000000"/>
        <rFont val="Aptos Narrow"/>
        <scheme val="minor"/>
      </rPr>
      <t>Does the SMA manage the reference data that is needed to support this capability?</t>
    </r>
  </si>
  <si>
    <t xml:space="preserve">- Reference data needed for this capabiity have been identified.
- Reference data requirements for this capability have been defined. </t>
  </si>
  <si>
    <t xml:space="preserve">- Reference data standards needed to support this capability have been defined and documented. 
- Crosswalks needed to support this capability have been identified. </t>
  </si>
  <si>
    <t xml:space="preserve">- Crosswalks for the reference data needed to support this capability have been documented. 
- Reference data needed to support the capability is stored centrally and accessible to key stakeholders that need access to it.
- Reference data pefofrmance measures and standards have been established to support this capability.  </t>
  </si>
  <si>
    <t>•	Regular assessments of reference data quality and management practices are conducted, including audits and validation activities to identify gaps and improvement opportunities.
•	Root cause analyses are performed and documented for issues impacting reference data, with corrective actions implemented.
•	Monitoring tools, audit logs, and reporting mechanisms are maintained to ensure ongoing compliance and quality.</t>
  </si>
  <si>
    <r>
      <rPr>
        <sz val="10"/>
        <color rgb="FFBE5014"/>
        <rFont val="Aptos Narrow"/>
        <scheme val="minor"/>
      </rPr>
      <t>•	The SMA continuously identifies and executes improvement activities aimed at enhancing reference data quality, consistency, and management maturity.
•	Practices such as automation, standardization, and integration of reference data processes are adopted to increase efficiency.
•	The organization actively participates in or contributes to industry standards and best practices for reference data management.
•	The impact of improvement initiatives is measured through KPIs, and lessons learned are incorporated to sustain ongoing maturation of reference data management capabilities</t>
    </r>
    <r>
      <rPr>
        <sz val="10"/>
        <color rgb="FF000000"/>
        <rFont val="Aptos Narrow"/>
        <scheme val="minor"/>
      </rPr>
      <t>.</t>
    </r>
  </si>
  <si>
    <r>
      <rPr>
        <b/>
        <sz val="12"/>
        <color rgb="FF000000"/>
        <rFont val="Aptos Narrow"/>
        <scheme val="minor"/>
      </rPr>
      <t xml:space="preserve">Business Intelligence
</t>
    </r>
    <r>
      <rPr>
        <sz val="12"/>
        <color rgb="FF000000"/>
        <rFont val="Aptos Narrow"/>
        <scheme val="minor"/>
      </rPr>
      <t>Does the SMA provide business intelligence to support his capability?</t>
    </r>
  </si>
  <si>
    <t>- Measures and Reports needed for this capability have been identified. 
- Business Intelligence requirements for this capability have been defined.</t>
  </si>
  <si>
    <t>- Measure and report specifications needed for this capability have been defined and documented.
- Reports needed for this capability can be traced to the specific data elements that are used in the report.</t>
  </si>
  <si>
    <t>- Measures and Reports needed for this capability are stored centrally and accessible to key stakeholders that need access to it.
- Business Intelligence performance measures and standards have been established to support this capability.</t>
  </si>
  <si>
    <t>•	Regular assessments of BI performance and data quality are conducted, including validation, user feedback, and usage analysis.
•	Root cause analysis is performed for issues such as incorrect reports or data discrepancies, with corrective actions documented and tracked.
•	Monitoring dashboards and audit logs are maintained to oversee BI system performance, security, and compliance.</t>
  </si>
  <si>
    <t>•	The SMA continuously identifies and implements improvement activities to enhance BI capabilities, data quality, and user experience.
•	Practices such as automation, advanced analytics, and self-service BI are adopted to increase agility and insight generation.
•	The organization actively explores new BI technologies, data visualization techniques, and analytics methods to increase maturity.
•	The impact of BI improvements is measured through KPIs such as decision-making speed, data accuracy, and stakeholder satisfaction, with lessons learned incorporated into ongoing initiatives.</t>
  </si>
  <si>
    <r>
      <rPr>
        <b/>
        <sz val="12"/>
        <color rgb="FF000000"/>
        <rFont val="Aptos Narrow"/>
      </rPr>
      <t>Metadata Management</t>
    </r>
    <r>
      <rPr>
        <sz val="12"/>
        <color rgb="FF000000"/>
        <rFont val="Aptos Narrow"/>
        <family val="2"/>
      </rPr>
      <t xml:space="preserve">
Does the SMA manage the metadata for the information assets that support this capability?</t>
    </r>
  </si>
  <si>
    <t>- Metadata requirements for the information assets for this capability have been defined.</t>
  </si>
  <si>
    <t>- Metadata standards and expectations have been defined for the metadata needed to manage the information assets for the capability. 
- Metadata about the  information assets for this capability have been identified and documented.</t>
  </si>
  <si>
    <t xml:space="preserve">- Metadata about the information assets for this capability are stored centrally and accessible to key stakeholders that need access to it. 
- Metadata performance measures and standards have been established to support the information assets for this capability. </t>
  </si>
  <si>
    <t xml:space="preserve">- Metadata performance assessments are performed regularly on the information assets for this capability.
- Enterprise metadata capability maturty assessments are performed and aligned to the information assets for this capability. </t>
  </si>
  <si>
    <t xml:space="preserve">- Activities needed to improve the performance and maturity of metadata management of the information assets for this capability are regularly identified and performed. </t>
  </si>
  <si>
    <t>Summary Question - Enterprise Level</t>
  </si>
  <si>
    <t>Role Maturity</t>
  </si>
  <si>
    <t>Business Process Maturity</t>
  </si>
  <si>
    <t>Information Maturity</t>
  </si>
  <si>
    <t>Technology Maturity</t>
  </si>
  <si>
    <r>
      <rPr>
        <b/>
        <sz val="12"/>
        <color theme="1"/>
        <rFont val="Aptos Narrow"/>
        <family val="2"/>
        <scheme val="minor"/>
      </rPr>
      <t>Data Storage &amp; Warehousing</t>
    </r>
    <r>
      <rPr>
        <sz val="12"/>
        <color theme="1"/>
        <rFont val="Aptos Narrow"/>
        <family val="2"/>
        <scheme val="minor"/>
      </rPr>
      <t xml:space="preserve">
Does the SMA have the roles, business processes, information and technology to support data storage &amp; warehousing to meet its desired outcomes?</t>
    </r>
  </si>
  <si>
    <t>Does the SMA have the data storage &amp; warehousing roles to meet its desired outcomes?</t>
  </si>
  <si>
    <t>Does the SMA have the data storage &amp; warehousing business processes to meet its desired outcomes?</t>
  </si>
  <si>
    <t>Does the SMA have the data storage &amp; warehousing information assets to meet its desired outcomes?</t>
  </si>
  <si>
    <t>Does the SMA have the data storage &amp; warehousing technology to meet its desired outcomes?</t>
  </si>
  <si>
    <r>
      <rPr>
        <b/>
        <sz val="12"/>
        <color theme="1"/>
        <rFont val="Aptos Narrow"/>
        <family val="2"/>
        <scheme val="minor"/>
      </rPr>
      <t>Data Architecture &amp; Modeling</t>
    </r>
    <r>
      <rPr>
        <sz val="12"/>
        <color theme="1"/>
        <rFont val="Aptos Narrow"/>
        <family val="2"/>
        <scheme val="minor"/>
      </rPr>
      <t xml:space="preserve">
Does the SMA have the roles, business processes, information and technology to support data architecture &amp; modeling to meet its desired outcomes?</t>
    </r>
  </si>
  <si>
    <t>Does the SMA have the data architecture &amp; modeling roles to meet its desired outcomes?</t>
  </si>
  <si>
    <t>Does the SMA have the data architecture &amp; modeling business processes to meet its desired outcomes?</t>
  </si>
  <si>
    <t>Does the SMA have the data architecture &amp; modeling information assets to meet its desired outcomes?</t>
  </si>
  <si>
    <t>Does the SMA have the data architecture &amp; modeling technology to meet its desired outcomes?</t>
  </si>
  <si>
    <r>
      <rPr>
        <b/>
        <sz val="12"/>
        <color theme="1"/>
        <rFont val="Aptos Narrow"/>
        <scheme val="minor"/>
      </rPr>
      <t>Document &amp; Content Management</t>
    </r>
    <r>
      <rPr>
        <sz val="12"/>
        <color theme="1"/>
        <rFont val="Aptos Narrow"/>
        <family val="2"/>
        <scheme val="minor"/>
      </rPr>
      <t xml:space="preserve">
Does the SMA have the roles, business processes, information and technology to support document &amp; content management to meet its desired outcomes?</t>
    </r>
  </si>
  <si>
    <t>Does the SMA have the document &amp; content management roles to meet its desired outcomes?</t>
  </si>
  <si>
    <t>Does the SMA have the document &amp; content management business processes to meet its desired outcomes?</t>
  </si>
  <si>
    <t>Does the SMA have the document &amp; content management information assets to meet its desired outcomes?</t>
  </si>
  <si>
    <t>Does the SMA have the document &amp; content management technology to meet its desired outcomes?</t>
  </si>
  <si>
    <r>
      <rPr>
        <b/>
        <sz val="12"/>
        <color rgb="FF000000"/>
        <rFont val="Aptos Narrow"/>
        <family val="2"/>
      </rPr>
      <t>Data Governance</t>
    </r>
    <r>
      <rPr>
        <sz val="12"/>
        <color rgb="FF000000"/>
        <rFont val="Aptos Narrow"/>
        <family val="2"/>
      </rPr>
      <t xml:space="preserve">
Does the SMA have the roles, business processes, information and technology to support data governance to meet its desired outcomes?</t>
    </r>
  </si>
  <si>
    <t>Does the SMA have the data governance roles to meet its desired outcomes?</t>
  </si>
  <si>
    <t>Does the SMA have the data governance business processes to meet its desired outcomes?</t>
  </si>
  <si>
    <t>Does the SMA have the data governance information assets to meet its desired outcomes?</t>
  </si>
  <si>
    <t>Does the SMA have the data governance technology to meet its desired outcomes?</t>
  </si>
  <si>
    <r>
      <rPr>
        <b/>
        <sz val="12"/>
        <color theme="1"/>
        <rFont val="Aptos Narrow"/>
        <family val="2"/>
        <scheme val="minor"/>
      </rPr>
      <t>Data Privacy &amp; Security</t>
    </r>
    <r>
      <rPr>
        <sz val="12"/>
        <color theme="1"/>
        <rFont val="Aptos Narrow"/>
        <family val="2"/>
        <scheme val="minor"/>
      </rPr>
      <t xml:space="preserve">
Does the SMA have the roles, business processes, information and technology to support data privacy &amp; security to meet its desired outcomes?</t>
    </r>
  </si>
  <si>
    <t>Does the SMA have the data privacy &amp; security roles to meet its desired outcomes?</t>
  </si>
  <si>
    <t>Does the SMA have the data privacy &amp; security business processes to meet its desired outcomes?</t>
  </si>
  <si>
    <t>Does the SMA have the data privacy &amp; security information assets to meet its desired outcomes?</t>
  </si>
  <si>
    <t>Does the SMA have the data privacy &amp; security technology to meet its desired outcomes?</t>
  </si>
  <si>
    <r>
      <rPr>
        <b/>
        <sz val="12"/>
        <color rgb="FF000000"/>
        <rFont val="Aptos Narrow"/>
      </rPr>
      <t>Data Quality</t>
    </r>
    <r>
      <rPr>
        <sz val="12"/>
        <color rgb="FF000000"/>
        <rFont val="Aptos Narrow"/>
        <family val="2"/>
      </rPr>
      <t xml:space="preserve">
Does the SMA have the roles, business processes, information and technology to support data quality to meet its desired outcomes?</t>
    </r>
  </si>
  <si>
    <t>Does the SMA have the data quality roles to meet its desired outcomes?</t>
  </si>
  <si>
    <t>Does the SMA have the data quality business processes to meet its desired outcomes?</t>
  </si>
  <si>
    <t>Does the SMA have the data quality information assets to meet its desired outcomes?</t>
  </si>
  <si>
    <t>Does the SMA have the data quality technology to meet its desired outcomes?</t>
  </si>
  <si>
    <r>
      <rPr>
        <b/>
        <sz val="12"/>
        <color theme="1"/>
        <rFont val="Aptos Narrow"/>
        <scheme val="minor"/>
      </rPr>
      <t>Data Integration &amp; Interoperoperability</t>
    </r>
    <r>
      <rPr>
        <sz val="12"/>
        <color theme="1"/>
        <rFont val="Aptos Narrow"/>
        <family val="2"/>
        <scheme val="minor"/>
      </rPr>
      <t xml:space="preserve">
Does the SMA have the roles, business processes, information and technology to support data integration &amp; interoperability to meet its desired outcomes?</t>
    </r>
  </si>
  <si>
    <t>Does the SMA have the data integration &amp; interoperability roles to meet its desired outcomes?</t>
  </si>
  <si>
    <t>Does the SMA have the data integration &amp; interoperability business processes to meet its desired outcomes?</t>
  </si>
  <si>
    <t>Does the SMA have the data integration &amp; interoperability information assets to meet its desired outcomes?</t>
  </si>
  <si>
    <t>Does the SMA have the data integration &amp; interoperability technology to meet its desired outcomes?</t>
  </si>
  <si>
    <r>
      <rPr>
        <b/>
        <sz val="12"/>
        <color theme="1"/>
        <rFont val="Aptos Narrow"/>
        <scheme val="minor"/>
      </rPr>
      <t>Master Data Management</t>
    </r>
    <r>
      <rPr>
        <sz val="12"/>
        <color theme="1"/>
        <rFont val="Aptos Narrow"/>
        <family val="2"/>
        <scheme val="minor"/>
      </rPr>
      <t xml:space="preserve">
Does the SMA have the roles, business processes, information and technology to support master data management to meet its desired outcomes?</t>
    </r>
  </si>
  <si>
    <t>Does the SMA have the master data management roles to meet its desired outcomes?</t>
  </si>
  <si>
    <t>Does the SMA have the master data management business processes to meet its desired outcomes?</t>
  </si>
  <si>
    <t>Does the SMA have the master data management information assets to meet its desired outcomes?</t>
  </si>
  <si>
    <t>Does the SMA have the master data management technology to meet its desired outcomes?</t>
  </si>
  <si>
    <r>
      <rPr>
        <b/>
        <sz val="12"/>
        <color theme="1"/>
        <rFont val="Aptos Narrow"/>
        <family val="2"/>
        <scheme val="minor"/>
      </rPr>
      <t>Reference Data Management</t>
    </r>
    <r>
      <rPr>
        <sz val="12"/>
        <color theme="1"/>
        <rFont val="Aptos Narrow"/>
        <family val="2"/>
        <scheme val="minor"/>
      </rPr>
      <t xml:space="preserve">
Does the SMA have the roles, business processes, information and technology to support reference data management to meet its desired outcomes?</t>
    </r>
  </si>
  <si>
    <t>Does the SMA have the reference data management roles to meet its desired outcomes?</t>
  </si>
  <si>
    <t>Does the SMA have the reference data management business processes to meet its desired outcomes?</t>
  </si>
  <si>
    <t>Does the SMA have the reference data management information assets to meet its desired outcomes?</t>
  </si>
  <si>
    <t>Does the SMA have the reference data management technology to meet its desired outcomes?</t>
  </si>
  <si>
    <r>
      <rPr>
        <b/>
        <sz val="12"/>
        <color theme="1"/>
        <rFont val="Aptos Narrow"/>
        <family val="2"/>
        <scheme val="minor"/>
      </rPr>
      <t>Business Intelligence</t>
    </r>
    <r>
      <rPr>
        <sz val="12"/>
        <color theme="1"/>
        <rFont val="Aptos Narrow"/>
        <family val="2"/>
        <scheme val="minor"/>
      </rPr>
      <t xml:space="preserve">
Does the SMA have the roles, business processes, information and technology to support business intelligence to meet its desired outcomes?</t>
    </r>
  </si>
  <si>
    <t>Does the SMA have the business intelligence roles to meet its desired outcomes?</t>
  </si>
  <si>
    <t>Does the SMA have the business intelligence business processes to meet its desired outcomes?</t>
  </si>
  <si>
    <t>Does the SMA have the business intelligence information assets to meet its desired outcomes?</t>
  </si>
  <si>
    <t>Does the SMA have the business intelligence technology to meet its desired outcomes?</t>
  </si>
  <si>
    <r>
      <rPr>
        <b/>
        <sz val="12"/>
        <color rgb="FF000000"/>
        <rFont val="Aptos Narrow"/>
        <family val="2"/>
      </rPr>
      <t>Metadata Management</t>
    </r>
    <r>
      <rPr>
        <sz val="12"/>
        <color rgb="FF000000"/>
        <rFont val="Aptos Narrow"/>
        <family val="2"/>
      </rPr>
      <t xml:space="preserve">
Does the SMA have the roles, business processes, information and technology to support metadata management to meet its desired outcomes?</t>
    </r>
  </si>
  <si>
    <t>Does the SMA have the metadata management roles to meet its desired outcomes?</t>
  </si>
  <si>
    <t>Does the SMA have the metadata management business processes to meet its desired outcomes?</t>
  </si>
  <si>
    <t>Does the SMA have the metadata management information assets to meet its desired outcomes?</t>
  </si>
  <si>
    <t>Does the SMA have the metadata management technology to meet its desired outcomes?</t>
  </si>
  <si>
    <t>Column</t>
  </si>
  <si>
    <t>Description</t>
  </si>
  <si>
    <t>Data Description</t>
  </si>
  <si>
    <t xml:space="preserve">Identifies the lowest maturity level that the criteria applies to. </t>
  </si>
  <si>
    <t xml:space="preserve">SMA is in a planning phase, readying the agency to support adoption of enterprise-wide planning efforts to improve SMA program delivery, yet no structured documentation or standards exist to support planning activities. </t>
  </si>
  <si>
    <t xml:space="preserve">The data needed to support the capability has been identified and is documented. </t>
  </si>
  <si>
    <t xml:space="preserve">Identifies a unique name for the criteria. </t>
  </si>
  <si>
    <t xml:space="preserve">SMA meets or is working toward meeting required MES regulations (e.g. CFRs) and supporting guidance (i.e. SHO, SMD). SMA has formalized and begun adopting MES industry-recognized planning (i.e. MITA, PMBOK)  and architectural frameworks (i.e. MITA, TOGAF, CMMI). </t>
  </si>
  <si>
    <t xml:space="preserve">The data standards, reference models and specifications needed to support the capability have been defined and documented to improve interoperability within the SMA  and with trading partners. </t>
  </si>
  <si>
    <t xml:space="preserve">Identifies the specific criteria that must be met in order to be assessed at the defined maturity level. </t>
  </si>
  <si>
    <t xml:space="preserve">SMA MES is compliant with required regulations (e.g. CFRs) and supporting guidance (i.e. SHO, SMD). SMA’s MES has adopted and is managing to industry-recognized planning and architectural models allowing for transparency between their SS-A, MES Roadmaps, MES Concepts of Operations (COOs), Advanced Planning Documents (APDs), architectural frameworks, and reference models. </t>
  </si>
  <si>
    <t xml:space="preserve">The data standards, reference models and specifications have been adopted and harmonized with the SMA's data, and measures/metrics for assessing the performance of the data (e.g. Data Quality) have been defined. </t>
  </si>
  <si>
    <t>Identifies a category that groups similar types of criteria.</t>
  </si>
  <si>
    <t xml:space="preserve">SMA MES maintains federal compliance, adheres to their planning and architectural models, and manages MES performance to achieve agency’s vision, goals, and objectives. </t>
  </si>
  <si>
    <t>The SMA uses standardized, controlled mechanisms to promote alignment and consistency of data management capabilities across the enterprise and the SMA regularly assesses, monitors and tracks the performance of its data.</t>
  </si>
  <si>
    <t xml:space="preserve">Identifies the rationale for how the criteria supports the SMA and/or CMS. </t>
  </si>
  <si>
    <t xml:space="preserve">SMA MES maintains federal compliance, adheres to their planning and architectural models, and manages MES performance. SMA teams use iterative methodologies (e.g., Agile) to manage and enhance their MES planning and architectural efforts to help achieve agency’s desired vision, goals, and objectives. </t>
  </si>
  <si>
    <t xml:space="preserve">The SMA uses the information received from its assessment to continuously improve its data management capabilities and the performance of its data.  </t>
  </si>
  <si>
    <t>Related Activity</t>
  </si>
  <si>
    <t>Identifies the activity that should be performed to meet this activity</t>
  </si>
  <si>
    <t xml:space="preserve">identifies the architecture that applies to the criteria. </t>
  </si>
  <si>
    <t xml:space="preserve">Identifies a method for validating that the criteria has been met. </t>
  </si>
  <si>
    <t xml:space="preserve">Identifies the artifact or other items that can be used to validate that the criteria has been met. </t>
  </si>
  <si>
    <t>Data Exchange</t>
  </si>
  <si>
    <t>Richard</t>
  </si>
  <si>
    <t>Data Architecture Modeling</t>
  </si>
  <si>
    <t>Jeff</t>
  </si>
  <si>
    <t>Dwayne</t>
  </si>
  <si>
    <t>Data Owner</t>
  </si>
  <si>
    <t>Business Data Steward</t>
  </si>
  <si>
    <t>Technical Data Steward</t>
  </si>
  <si>
    <t>Data Governance Steering Committee</t>
  </si>
  <si>
    <t>Data Custodian</t>
  </si>
  <si>
    <t>Data Modeler</t>
  </si>
  <si>
    <t>Data Architect</t>
  </si>
  <si>
    <r>
      <rPr>
        <b/>
        <sz val="12"/>
        <color rgb="FF000000"/>
        <rFont val="Aptos Narrow"/>
        <family val="2"/>
        <scheme val="minor"/>
      </rPr>
      <t xml:space="preserve">Data Storage &amp; Warehousing
</t>
    </r>
    <r>
      <rPr>
        <sz val="12"/>
        <color rgb="FF000000"/>
        <rFont val="Aptos Narrow"/>
        <family val="2"/>
        <scheme val="minor"/>
      </rPr>
      <t>Does the SMA manage the storage and warehousing of the information assets that support this capability?</t>
    </r>
  </si>
  <si>
    <t>Stakeholders</t>
  </si>
  <si>
    <t>Structure</t>
  </si>
  <si>
    <t>Vocabulary</t>
  </si>
  <si>
    <t>Policies &amp; Rules</t>
  </si>
  <si>
    <t>Does the SMA manage policies and rules for the impacted information assets?</t>
  </si>
  <si>
    <t>Does the SMA manage the meaning of the impacted information asset?</t>
  </si>
  <si>
    <t>Does the SMA manage the structure of the impacted information asset?</t>
  </si>
  <si>
    <t>Does the SMA have defined stakeholders for the impacted information assets?</t>
  </si>
  <si>
    <t>Question</t>
  </si>
  <si>
    <t>Data Lineage</t>
  </si>
  <si>
    <t>Data Classification</t>
  </si>
  <si>
    <t>Does the SMA manage data classifications for the impacted information assets?</t>
  </si>
  <si>
    <t>Performance</t>
  </si>
  <si>
    <t>Does the SMA manage the performance of the impacted information assets?</t>
  </si>
  <si>
    <t>Does the SMA manage the data lineage of the impacted information assets from acquisition to data usage?</t>
  </si>
  <si>
    <t>No stakeholders identified</t>
  </si>
  <si>
    <t>Individuals that are assigned to the stakeholder roles understand their role and are performing their assigned responsibilities.</t>
  </si>
  <si>
    <t xml:space="preserve">Stakeholder understanding and engagement is monitored, and interventions implemented to meet deficiencies. </t>
  </si>
  <si>
    <t xml:space="preserve">Stakeholder roles and responsibilities for the information asset defined but not assigned. </t>
  </si>
  <si>
    <t>All key stakeholder roles assigned to individuals and include data owners, data stewards, data custodians, data users and trading partners.</t>
  </si>
  <si>
    <t xml:space="preserve">Little to no documentation on the structure of the information assets. </t>
  </si>
  <si>
    <t xml:space="preserve">Little to no documentation on the business definitions for the information assets. </t>
  </si>
  <si>
    <t>Little or no policies and rules defined for the information assets.</t>
  </si>
  <si>
    <t>Some data quality rules defined for the information assets
Data access policies defined for the information assets</t>
  </si>
  <si>
    <t>Data retention policies defined for the information assets
Data matching and survivorship rules defined for the information asset.</t>
  </si>
  <si>
    <t>All data rules and policies are traced in a central repository to the impacted elements in the information asset.</t>
  </si>
  <si>
    <t>The reference data used in the information asset adhere to reference data standards</t>
  </si>
  <si>
    <t>Few or no performance measures established for the information assets.</t>
  </si>
  <si>
    <t>Little or no data classifications have been defined for the information asset.</t>
  </si>
  <si>
    <t>Data privacy, security and subject area classifications have been defined.</t>
  </si>
  <si>
    <t>Data privacy, security and subject area classifications have been assigned to the individual data sets and elements in the information assets.</t>
  </si>
  <si>
    <t>The data objects and elements contained in the information asset have documented detailed descriptions.</t>
  </si>
  <si>
    <t>Business terms, acronyms and concepts that define the information asset have been defined.</t>
  </si>
  <si>
    <t>- The information assets adhere to a structural data standard
- The relationships across data objects and elements have been documented</t>
  </si>
  <si>
    <t>The data objects and element descriptions are maintained in a central repository and traced to the corresponding data classifications, vocabulary, policies, rules and data lineage</t>
  </si>
  <si>
    <t>The data object and element descriptions meet enterprise quality expectations
The data object and element descriptions are accessibile to key stakeholders that need access to it</t>
  </si>
  <si>
    <t>Aspect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</si>
</sst>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2"/>
      <color theme="1"/>
      <name val="Aptos Narrow"/>
      <family val="2"/>
      <scheme val="minor"/>
    </font>
    <font>
      <sz val="12"/>
      <name val="Aptos Narrow"/>
      <scheme val="minor"/>
    </font>
    <font>
      <b/>
      <sz val="12"/>
      <color theme="1"/>
      <name val="Aptos Narrow"/>
      <scheme val="minor"/>
    </font>
    <font>
      <b/>
      <sz val="12"/>
      <color theme="1"/>
      <name val="Aptos Narrow"/>
      <family val="2"/>
      <scheme val="minor"/>
    </font>
    <font>
      <b/>
      <sz val="12"/>
      <name val="Aptos Narrow"/>
      <family val="2"/>
      <scheme val="minor"/>
    </font>
    <font>
      <sz val="12"/>
      <name val="Aptos Narrow"/>
      <family val="2"/>
      <scheme val="minor"/>
    </font>
    <font>
      <sz val="12"/>
      <color theme="0"/>
      <name val="Aptos Narrow"/>
      <scheme val="minor"/>
    </font>
    <font>
      <sz val="12"/>
      <color theme="0"/>
      <name val="Aptos Narrow"/>
      <family val="2"/>
      <scheme val="minor"/>
    </font>
    <font>
      <b/>
      <sz val="12"/>
      <color theme="0"/>
      <name val="Aptos Narrow"/>
      <scheme val="minor"/>
    </font>
    <font>
      <sz val="12"/>
      <color theme="1"/>
      <name val="Segoe UI"/>
      <family val="2"/>
    </font>
    <font>
      <sz val="12"/>
      <color rgb="FF000000"/>
      <name val="Segoe UI"/>
      <family val="2"/>
    </font>
    <font>
      <sz val="12"/>
      <color rgb="FF000000"/>
      <name val="Aptos Narrow"/>
      <family val="2"/>
    </font>
    <font>
      <b/>
      <sz val="12"/>
      <color rgb="FF000000"/>
      <name val="Aptos Narrow"/>
      <family val="2"/>
    </font>
    <font>
      <sz val="10"/>
      <color theme="1"/>
      <name val="Aptos Narrow"/>
      <family val="2"/>
      <scheme val="minor"/>
    </font>
    <font>
      <b/>
      <sz val="12"/>
      <color rgb="FF000000"/>
      <name val="Aptos Narrow"/>
    </font>
    <font>
      <sz val="12"/>
      <color theme="1"/>
      <name val="Aptos Narrow"/>
      <scheme val="minor"/>
    </font>
    <font>
      <sz val="12"/>
      <color rgb="FF000000"/>
      <name val="Aptos Narrow"/>
    </font>
    <font>
      <b/>
      <sz val="12"/>
      <color rgb="FF000000"/>
      <name val="Aptos Narrow"/>
      <scheme val="minor"/>
    </font>
    <font>
      <sz val="12"/>
      <color rgb="FF000000"/>
      <name val="Aptos Narrow"/>
      <scheme val="minor"/>
    </font>
    <font>
      <sz val="10"/>
      <color rgb="FFBE5014"/>
      <name val="Aptos Narrow"/>
      <scheme val="minor"/>
    </font>
    <font>
      <sz val="10"/>
      <color rgb="FFBE5014"/>
      <name val="Aptos Narrow"/>
    </font>
    <font>
      <sz val="10"/>
      <color rgb="FF000000"/>
      <name val="Aptos Narrow"/>
    </font>
    <font>
      <sz val="10"/>
      <color theme="1"/>
      <name val="Aptos Narrow"/>
    </font>
    <font>
      <sz val="10"/>
      <color rgb="FF000000"/>
      <name val="Aptos Narrow"/>
      <scheme val="minor"/>
    </font>
    <font>
      <sz val="10"/>
      <color theme="1"/>
      <name val="Aptos Narrow"/>
      <scheme val="minor"/>
    </font>
    <font>
      <sz val="12"/>
      <color rgb="FF000000"/>
      <name val="Aptos Narrow"/>
      <family val="2"/>
      <scheme val="minor"/>
    </font>
    <font>
      <b/>
      <sz val="12"/>
      <color rgb="FF000000"/>
      <name val="Aptos Narrow"/>
      <family val="2"/>
      <scheme val="minor"/>
    </font>
    <font>
      <b/>
      <sz val="12"/>
      <color theme="0"/>
      <name val="Aptos Narrow"/>
      <family val="2"/>
      <scheme val="minor"/>
    </font>
    <font>
      <sz val="10"/>
      <color rgb="FFBE5014"/>
      <name val="Aptos Narrow"/>
      <family val="2"/>
      <scheme val="minor"/>
    </font>
  </fonts>
  <fills count="9">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rgb="FFFFFF00"/>
        <bgColor rgb="FF000000"/>
      </patternFill>
    </fill>
    <fill>
      <patternFill patternType="solid">
        <fgColor rgb="FFD9D9D9"/>
        <bgColor rgb="FFD9D9D9"/>
      </patternFill>
    </fill>
    <fill>
      <patternFill patternType="solid">
        <fgColor theme="5" tint="0.59999389629810485"/>
        <bgColor indexed="64"/>
      </patternFill>
    </fill>
    <fill>
      <patternFill patternType="solid">
        <fgColor theme="1"/>
        <bgColor theme="1"/>
      </patternFill>
    </fill>
    <fill>
      <patternFill patternType="solid">
        <fgColor theme="5"/>
        <bgColor indexed="64"/>
      </patternFill>
    </fill>
  </fills>
  <borders count="12">
    <border>
      <left/>
      <right/>
      <top/>
      <bottom/>
      <diagonal/>
    </border>
    <border>
      <left style="thin">
        <color theme="1"/>
      </left>
      <right style="thin">
        <color theme="1"/>
      </right>
      <top style="medium">
        <color theme="1"/>
      </top>
      <bottom style="medium">
        <color theme="1"/>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68">
    <xf numFmtId="0" fontId="0" fillId="0" borderId="0" xfId="0"/>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6" fillId="0" borderId="0" xfId="0" applyFont="1"/>
    <xf numFmtId="0" fontId="6" fillId="0" borderId="0" xfId="0" applyFont="1" applyAlignment="1">
      <alignment wrapText="1"/>
    </xf>
    <xf numFmtId="0" fontId="1" fillId="0" borderId="1" xfId="0" applyFont="1" applyBorder="1" applyAlignment="1">
      <alignment vertical="top"/>
    </xf>
    <xf numFmtId="0" fontId="1" fillId="0" borderId="0" xfId="0" applyFont="1" applyAlignment="1">
      <alignment vertical="top" wrapText="1"/>
    </xf>
    <xf numFmtId="0" fontId="1" fillId="0" borderId="1" xfId="0" applyFont="1" applyBorder="1" applyAlignment="1">
      <alignment vertical="top" wrapText="1"/>
    </xf>
    <xf numFmtId="0" fontId="4" fillId="0" borderId="1" xfId="0" applyFont="1" applyBorder="1" applyAlignment="1">
      <alignment vertical="top"/>
    </xf>
    <xf numFmtId="0" fontId="0" fillId="0" borderId="0" xfId="0" applyAlignment="1">
      <alignment vertical="top" wrapText="1"/>
    </xf>
    <xf numFmtId="0" fontId="5" fillId="0" borderId="1" xfId="0" applyFont="1" applyBorder="1" applyAlignment="1">
      <alignment vertical="top" wrapText="1"/>
    </xf>
    <xf numFmtId="0" fontId="5" fillId="0" borderId="0" xfId="0" applyFont="1" applyAlignment="1">
      <alignment vertical="top" wrapText="1"/>
    </xf>
    <xf numFmtId="0" fontId="5" fillId="0" borderId="1" xfId="0" applyFont="1" applyBorder="1" applyAlignment="1">
      <alignment vertical="top"/>
    </xf>
    <xf numFmtId="0" fontId="8" fillId="2" borderId="0" xfId="0" applyFont="1" applyFill="1"/>
    <xf numFmtId="0" fontId="7" fillId="2" borderId="0" xfId="0" applyFont="1" applyFill="1"/>
    <xf numFmtId="0" fontId="2" fillId="0" borderId="0" xfId="0" applyFon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vertical="top"/>
    </xf>
    <xf numFmtId="0" fontId="10" fillId="4" borderId="2" xfId="0" applyFont="1" applyFill="1" applyBorder="1" applyAlignment="1">
      <alignment wrapText="1"/>
    </xf>
    <xf numFmtId="0" fontId="11" fillId="4" borderId="2" xfId="0" applyFont="1" applyFill="1" applyBorder="1" applyAlignment="1">
      <alignment wrapText="1"/>
    </xf>
    <xf numFmtId="0" fontId="0" fillId="3" borderId="0" xfId="0" applyFill="1" applyAlignment="1">
      <alignment horizontal="left" vertical="top"/>
    </xf>
    <xf numFmtId="0" fontId="3" fillId="3" borderId="0" xfId="0" applyFont="1" applyFill="1" applyAlignment="1">
      <alignment horizontal="left" vertical="top" wrapText="1"/>
    </xf>
    <xf numFmtId="0" fontId="11" fillId="5" borderId="2" xfId="0" applyFont="1" applyFill="1" applyBorder="1" applyAlignment="1">
      <alignment wrapText="1"/>
    </xf>
    <xf numFmtId="0" fontId="11" fillId="0" borderId="2" xfId="0" applyFont="1" applyBorder="1" applyAlignment="1">
      <alignment wrapText="1"/>
    </xf>
    <xf numFmtId="0" fontId="11" fillId="4" borderId="0" xfId="0" applyFont="1" applyFill="1"/>
    <xf numFmtId="0" fontId="0" fillId="0" borderId="2" xfId="0" applyBorder="1" applyAlignment="1">
      <alignment horizontal="left" vertical="top"/>
    </xf>
    <xf numFmtId="0" fontId="12" fillId="4" borderId="0" xfId="0" applyFont="1" applyFill="1" applyAlignment="1">
      <alignment wrapText="1"/>
    </xf>
    <xf numFmtId="0" fontId="3" fillId="0" borderId="2" xfId="0" applyFont="1" applyBorder="1" applyAlignment="1">
      <alignment horizontal="left" vertical="top" wrapText="1"/>
    </xf>
    <xf numFmtId="0" fontId="11" fillId="0" borderId="0" xfId="0" applyFont="1" applyAlignment="1">
      <alignment wrapText="1"/>
    </xf>
    <xf numFmtId="0" fontId="0" fillId="0" borderId="2" xfId="0" applyBorder="1" applyAlignment="1">
      <alignment horizontal="left" vertical="top" wrapText="1"/>
    </xf>
    <xf numFmtId="0" fontId="11" fillId="5" borderId="0" xfId="0" applyFont="1" applyFill="1" applyAlignment="1">
      <alignment wrapText="1"/>
    </xf>
    <xf numFmtId="0" fontId="11" fillId="4" borderId="0" xfId="0" applyFont="1" applyFill="1" applyAlignment="1">
      <alignment wrapText="1"/>
    </xf>
    <xf numFmtId="0" fontId="10" fillId="4" borderId="0" xfId="0" applyFont="1" applyFill="1" applyAlignment="1">
      <alignment wrapText="1"/>
    </xf>
    <xf numFmtId="0" fontId="0" fillId="3" borderId="2" xfId="0" applyFill="1" applyBorder="1" applyAlignment="1">
      <alignment vertical="center" wrapText="1"/>
    </xf>
    <xf numFmtId="0" fontId="9" fillId="3" borderId="2" xfId="0" applyFont="1" applyFill="1" applyBorder="1" applyAlignment="1">
      <alignment vertical="center" wrapText="1"/>
    </xf>
    <xf numFmtId="0" fontId="0" fillId="0" borderId="2" xfId="0" quotePrefix="1" applyBorder="1" applyAlignment="1">
      <alignment horizontal="left" vertical="top" wrapText="1"/>
    </xf>
    <xf numFmtId="0" fontId="2" fillId="6" borderId="0" xfId="0" applyFont="1" applyFill="1" applyAlignment="1">
      <alignment horizontal="left" vertical="top" wrapText="1"/>
    </xf>
    <xf numFmtId="0" fontId="13" fillId="0" borderId="3" xfId="0" quotePrefix="1" applyFont="1" applyBorder="1" applyAlignment="1">
      <alignment vertical="top" wrapText="1"/>
    </xf>
    <xf numFmtId="0" fontId="13" fillId="0" borderId="5" xfId="0" quotePrefix="1" applyFont="1" applyBorder="1" applyAlignment="1">
      <alignment vertical="top" wrapText="1"/>
    </xf>
    <xf numFmtId="0" fontId="2" fillId="0" borderId="7" xfId="0" applyFont="1" applyBorder="1" applyAlignment="1">
      <alignment horizontal="center" vertical="center"/>
    </xf>
    <xf numFmtId="0" fontId="16" fillId="0" borderId="4" xfId="0" applyFont="1" applyBorder="1" applyAlignment="1">
      <alignment vertical="top" wrapText="1"/>
    </xf>
    <xf numFmtId="0" fontId="16" fillId="0" borderId="9" xfId="0" applyFont="1" applyBorder="1" applyAlignment="1">
      <alignment vertical="top" wrapText="1"/>
    </xf>
    <xf numFmtId="0" fontId="13" fillId="0" borderId="10" xfId="0" quotePrefix="1" applyFont="1" applyBorder="1" applyAlignment="1">
      <alignment vertical="top" wrapText="1"/>
    </xf>
    <xf numFmtId="0" fontId="13" fillId="0" borderId="11" xfId="0" quotePrefix="1" applyFont="1" applyBorder="1" applyAlignment="1">
      <alignment vertical="top" wrapText="1"/>
    </xf>
    <xf numFmtId="0" fontId="3" fillId="0" borderId="6" xfId="0" applyFont="1" applyBorder="1" applyAlignment="1">
      <alignment wrapText="1"/>
    </xf>
    <xf numFmtId="0" fontId="13" fillId="0" borderId="0" xfId="0" applyFont="1" applyAlignment="1">
      <alignment vertical="top" wrapText="1"/>
    </xf>
    <xf numFmtId="0" fontId="15" fillId="0" borderId="3" xfId="0" applyFont="1" applyBorder="1" applyAlignment="1">
      <alignment horizontal="left" vertical="top" wrapText="1"/>
    </xf>
    <xf numFmtId="0" fontId="0" fillId="0" borderId="3" xfId="0" applyBorder="1" applyAlignment="1">
      <alignment horizontal="left" vertical="top" wrapText="1"/>
    </xf>
    <xf numFmtId="0" fontId="11" fillId="0" borderId="3" xfId="0" applyFont="1" applyBorder="1" applyAlignment="1">
      <alignment vertical="top" wrapText="1"/>
    </xf>
    <xf numFmtId="0" fontId="13" fillId="0" borderId="0" xfId="0" applyFont="1" applyAlignment="1">
      <alignment horizontal="center" vertical="top" wrapText="1"/>
    </xf>
    <xf numFmtId="0" fontId="16" fillId="0" borderId="3" xfId="0" applyFont="1" applyBorder="1" applyAlignment="1">
      <alignment vertical="top" wrapText="1"/>
    </xf>
    <xf numFmtId="0" fontId="18" fillId="0" borderId="4" xfId="0" applyFont="1" applyBorder="1" applyAlignment="1">
      <alignment horizontal="left" vertical="top" wrapText="1"/>
    </xf>
    <xf numFmtId="0" fontId="19" fillId="0" borderId="3" xfId="0" applyFont="1" applyBorder="1" applyAlignment="1">
      <alignment vertical="top" wrapText="1"/>
    </xf>
    <xf numFmtId="0" fontId="2" fillId="0" borderId="8" xfId="0" applyFont="1" applyBorder="1" applyAlignment="1">
      <alignment horizontal="center" vertical="center" wrapText="1"/>
    </xf>
    <xf numFmtId="0" fontId="19" fillId="0" borderId="5" xfId="0" applyFont="1" applyBorder="1" applyAlignment="1">
      <alignment vertical="top" wrapText="1"/>
    </xf>
    <xf numFmtId="0" fontId="22" fillId="0" borderId="3" xfId="0" quotePrefix="1" applyFont="1" applyBorder="1" applyAlignment="1">
      <alignment vertical="top" wrapText="1"/>
    </xf>
    <xf numFmtId="0" fontId="24" fillId="0" borderId="5" xfId="0" applyFont="1" applyBorder="1" applyAlignment="1">
      <alignment vertical="top" wrapText="1"/>
    </xf>
    <xf numFmtId="0" fontId="25" fillId="0" borderId="4" xfId="0" applyFont="1" applyBorder="1" applyAlignment="1">
      <alignment horizontal="left" vertical="top" wrapText="1"/>
    </xf>
    <xf numFmtId="0" fontId="27" fillId="7" borderId="3" xfId="0" applyFont="1" applyFill="1" applyBorder="1" applyAlignment="1">
      <alignment horizontal="center" vertical="center" wrapText="1"/>
    </xf>
    <xf numFmtId="0" fontId="0" fillId="0" borderId="0" xfId="0" quotePrefix="1" applyAlignment="1">
      <alignment wrapText="1"/>
    </xf>
    <xf numFmtId="0" fontId="2" fillId="8" borderId="0" xfId="0" applyFont="1" applyFill="1" applyAlignment="1">
      <alignment vertical="top"/>
    </xf>
    <xf numFmtId="0" fontId="2" fillId="8" borderId="0" xfId="0" applyFont="1" applyFill="1" applyAlignment="1">
      <alignment vertical="top" wrapText="1"/>
    </xf>
    <xf numFmtId="0" fontId="28" fillId="0" borderId="3" xfId="0" applyFont="1" applyBorder="1" applyAlignment="1">
      <alignment vertical="top" wrapText="1"/>
    </xf>
  </cellXfs>
  <cellStyles count="1">
    <cellStyle name="Normal" xfId="0" builtinId="0"/>
  </cellStyles>
  <dxfs count="45">
    <dxf>
      <alignment vertical="top" textRotation="0" indent="0" justifyLastLine="0" shrinkToFit="0" readingOrder="0"/>
    </dxf>
    <dxf>
      <alignment vertical="top" textRotation="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vertical="top" textRotation="0" indent="0" justifyLastLine="0" shrinkToFit="0" readingOrder="0"/>
    </dxf>
    <dxf>
      <font>
        <b/>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auto="1"/>
        <name val="Aptos Narrow"/>
        <scheme val="minor"/>
      </font>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ont>
        <strike val="0"/>
        <outline val="0"/>
        <shadow val="0"/>
        <u val="none"/>
        <vertAlign val="baseline"/>
        <sz val="12"/>
        <color theme="0"/>
        <name val="Aptos Narrow"/>
        <scheme val="minor"/>
      </font>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ptos Narrow"/>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alignment horizontal="general" vertical="top" textRotation="0" wrapText="1"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font>
      <alignment horizontal="left" vertical="top" textRotation="0" wrapText="1" indent="0" justifyLastLine="0" shrinkToFit="0" readingOrder="0"/>
    </dxf>
    <dxf>
      <numFmt numFmtId="0" formatCode="General"/>
      <alignment horizontal="left" vertical="top" textRotation="0" indent="0" justifyLastLine="0" shrinkToFit="0" readingOrder="0"/>
    </dxf>
    <dxf>
      <alignment horizontal="left" vertical="top" textRotation="0" indent="0" justifyLastLine="0" shrinkToFit="0" readingOrder="0"/>
    </dxf>
    <dxf>
      <alignment horizontal="center"/>
    </dxf>
    <dxf>
      <alignment horizontal="center"/>
    </dxf>
    <dxf>
      <alignment horizontal="center"/>
    </dxf>
    <dxf>
      <fill>
        <patternFill patternType="none">
          <fgColor indexed="64"/>
          <bgColor indexed="65"/>
        </patternFill>
      </fill>
      <alignment wrapText="1"/>
      <border diagonalUp="0" diagonalDown="0">
        <left style="thin">
          <color indexed="64"/>
        </left>
        <right/>
        <top style="thin">
          <color indexed="64"/>
        </top>
        <bottom style="thin">
          <color indexed="64"/>
        </bottom>
        <vertical/>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scheme val="minor"/>
      </font>
      <fill>
        <patternFill patternType="none">
          <fgColor indexed="64"/>
          <bgColor indexed="65"/>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indexed="65"/>
        </patternFill>
      </fill>
    </dxf>
    <dxf>
      <border outline="0">
        <bottom style="thin">
          <color indexed="64"/>
        </bottom>
      </border>
    </dxf>
    <dxf>
      <font>
        <b/>
        <i val="0"/>
        <strike val="0"/>
        <condense val="0"/>
        <extend val="0"/>
        <outline val="0"/>
        <shadow val="0"/>
        <u val="none"/>
        <vertAlign val="baseline"/>
        <sz val="12"/>
        <color theme="1"/>
        <name val="Aptos Narrow"/>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wayne Carter" refreshedDate="45926.473095370369" createdVersion="8" refreshedVersion="8" minRefreshableVersion="3" recordCount="74" xr:uid="{6216E0DF-9D43-A64A-BEDF-4B0A14577493}">
  <cacheSource type="worksheet">
    <worksheetSource name="Table1"/>
  </cacheSource>
  <cacheFields count="12">
    <cacheField name="Maturity Level" numFmtId="0">
      <sharedItems count="6">
        <s v="Level 1"/>
        <s v="Level 2"/>
        <s v="Level 3"/>
        <s v="Level 4"/>
        <s v="Level 5"/>
        <e v="#N/A"/>
      </sharedItems>
    </cacheField>
    <cacheField name="Crieria Name" numFmtId="0">
      <sharedItems/>
    </cacheField>
    <cacheField name="Criteria" numFmtId="0">
      <sharedItems containsBlank="1"/>
    </cacheField>
    <cacheField name="Question" numFmtId="0">
      <sharedItems containsNonDate="0" containsString="0" containsBlank="1"/>
    </cacheField>
    <cacheField name="Rationale" numFmtId="0">
      <sharedItems containsBlank="1"/>
    </cacheField>
    <cacheField name="Related Activity (ies)" numFmtId="0">
      <sharedItems containsBlank="1"/>
    </cacheField>
    <cacheField name="Type" numFmtId="0">
      <sharedItems containsBlank="1"/>
    </cacheField>
    <cacheField name="Category" numFmtId="0">
      <sharedItems containsBlank="1"/>
    </cacheField>
    <cacheField name="Data Management Capability" numFmtId="0">
      <sharedItems containsBlank="1" count="13">
        <s v="Data Quality"/>
        <s v="Data Governance"/>
        <s v="Master Data Management"/>
        <s v="Data Architecture, Modeling &amp; Design"/>
        <s v="Metadata Management"/>
        <s v="Reference Data Management"/>
        <s v="Data Integration &amp; Interoperability"/>
        <s v="Business Intelligence &amp; Data Science"/>
        <s v="Document &amp; Content"/>
        <s v="Data Security &amp; Privacy"/>
        <s v="Data Storage &amp; Warehousing"/>
        <m/>
        <s v="Metadata" u="1"/>
      </sharedItems>
    </cacheField>
    <cacheField name="Architecture" numFmtId="0">
      <sharedItems containsBlank="1"/>
    </cacheField>
    <cacheField name="Suggested Validation Method" numFmtId="0">
      <sharedItems containsBlank="1"/>
    </cacheField>
    <cacheField name="Suggested Evidenc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
  <r>
    <x v="0"/>
    <s v="Data Profiling"/>
    <s v="The data assets that are used to support the capability have been profiled. "/>
    <m/>
    <m/>
    <m/>
    <s v="Initial"/>
    <m/>
    <x v="0"/>
    <s v="Information Architecture"/>
    <m/>
    <m/>
  </r>
  <r>
    <x v="0"/>
    <s v="Data Issues &amp; Anomaly Identification"/>
    <s v="Known data anomalies and issues that impact the data assets have been identified, documented and are tracked."/>
    <m/>
    <m/>
    <m/>
    <s v="Initial"/>
    <m/>
    <x v="0"/>
    <s v="Information Architecture"/>
    <m/>
    <m/>
  </r>
  <r>
    <x v="0"/>
    <s v="Data Management Need Identification"/>
    <s v="All associated data needs have been identified using data management capabilities."/>
    <m/>
    <s v="Aligns data management activities with organizational objectives and stakeholder requirements."/>
    <m/>
    <s v="Initial"/>
    <s v="Definition"/>
    <x v="1"/>
    <s v="Information Architecture"/>
    <m/>
    <m/>
  </r>
  <r>
    <x v="0"/>
    <s v="Term &amp; Acronym Identification"/>
    <s v="The associated business terms and acronyms have been defined."/>
    <m/>
    <s v="Reduces ambiguity and ensures common understanding of key terms across the enterprise."/>
    <m/>
    <s v="Initial"/>
    <s v="Definition"/>
    <x v="1"/>
    <s v="Information Architecture"/>
    <s v="Artifact Review"/>
    <s v="Business Glossary"/>
  </r>
  <r>
    <x v="0"/>
    <s v="Master Data Source Identification"/>
    <s v="Master data sources, producers and consumers have been identified for the associated data."/>
    <m/>
    <m/>
    <m/>
    <s v="Initial"/>
    <m/>
    <x v="2"/>
    <s v="Information Architecture"/>
    <m/>
    <m/>
  </r>
  <r>
    <x v="0"/>
    <s v="Master Data Modeling"/>
    <s v="Master data approach (e.g. Master Data Rules) have been identified and implemented for the associated data."/>
    <m/>
    <m/>
    <m/>
    <s v="Initial"/>
    <m/>
    <x v="2"/>
    <s v="Information Architecture"/>
    <m/>
    <m/>
  </r>
  <r>
    <x v="0"/>
    <s v="Information Identification"/>
    <s v="The associated concepts that are needed to support the capability  has been identified."/>
    <m/>
    <m/>
    <m/>
    <s v="Initial"/>
    <m/>
    <x v="3"/>
    <s v="Information Architecture"/>
    <m/>
    <m/>
  </r>
  <r>
    <x v="0"/>
    <s v="Data Asset Identification"/>
    <s v="The data assets that are used to support the capability have been identified."/>
    <m/>
    <m/>
    <m/>
    <s v="Initial"/>
    <m/>
    <x v="4"/>
    <s v="Information Architecture"/>
    <m/>
    <m/>
  </r>
  <r>
    <x v="0"/>
    <s v="Reference Data Identification"/>
    <s v="The reference data included in the data asset has been defined and documented. "/>
    <m/>
    <m/>
    <m/>
    <s v="Initial"/>
    <m/>
    <x v="5"/>
    <s v="Information Architecture"/>
    <m/>
    <m/>
  </r>
  <r>
    <x v="0"/>
    <s v="Data Exchange Identification"/>
    <s v="The data exchanges that support the capability have been defined and documented. "/>
    <m/>
    <m/>
    <m/>
    <s v="Initial"/>
    <m/>
    <x v="6"/>
    <s v="Information Architecture"/>
    <m/>
    <m/>
  </r>
  <r>
    <x v="0"/>
    <s v="Report Identification"/>
    <s v="All reports that are needed to support the capability have been identified. "/>
    <m/>
    <m/>
    <m/>
    <s v="Initial"/>
    <m/>
    <x v="7"/>
    <s v="Information Architecture"/>
    <m/>
    <m/>
  </r>
  <r>
    <x v="0"/>
    <s v="Measure Identification"/>
    <s v="All measures and metrics needed to support reporting on the capability have been identified. "/>
    <m/>
    <m/>
    <m/>
    <s v="Initial"/>
    <m/>
    <x v="7"/>
    <s v="Information Architecture"/>
    <m/>
    <m/>
  </r>
  <r>
    <x v="0"/>
    <s v="Document Identification"/>
    <s v="The documents that are needed to support the capability have been identified."/>
    <m/>
    <m/>
    <m/>
    <s v="Initial"/>
    <m/>
    <x v="8"/>
    <s v="Information Architecture"/>
    <m/>
    <m/>
  </r>
  <r>
    <x v="1"/>
    <s v="Structure Data Standards Identification"/>
    <s v="All required structural data standards have been identified and aligned to associated data structures. "/>
    <m/>
    <m/>
    <m/>
    <s v="Developing"/>
    <m/>
    <x v="6"/>
    <s v="Information Architecture"/>
    <m/>
    <m/>
  </r>
  <r>
    <x v="1"/>
    <s v="Data Validation Rule Definition"/>
    <s v="Data validation rules have been defined and implemented for the associated data."/>
    <m/>
    <s v="Ensures that the SMA is validating that data is fit for use as it is collected/created."/>
    <m/>
    <s v="Developing"/>
    <s v="Definition"/>
    <x v="0"/>
    <s v="Information Architecture"/>
    <m/>
    <m/>
  </r>
  <r>
    <x v="1"/>
    <s v="Vocabulary Data Standard Identification"/>
    <s v="All required vocabulary/reference data standards have been identified and aligned to associated reference data."/>
    <m/>
    <m/>
    <m/>
    <s v="Developing"/>
    <m/>
    <x v="5"/>
    <s v="Information Architecture"/>
    <m/>
    <m/>
  </r>
  <r>
    <x v="1"/>
    <s v="Data Definition Development"/>
    <s v="All data stored in the associated data assets (e.g. Data Files, Database) have been defined and documented.  "/>
    <m/>
    <m/>
    <s v="Catalog known data assets"/>
    <s v="Developing"/>
    <s v="Definition"/>
    <x v="4"/>
    <s v="Information Architecture"/>
    <s v="Artifact Review"/>
    <s v="Data Dictionary / Data Catalog"/>
  </r>
  <r>
    <x v="1"/>
    <s v="Data Lineage Development"/>
    <s v="The lineage, including data transformations,  of the associated data assets have been documented and tracked."/>
    <m/>
    <s v="Supports traceability, impact analysis, and data governance efforts."/>
    <m/>
    <s v="Developing"/>
    <s v="Definition"/>
    <x v="1"/>
    <s v="Information Architecture"/>
    <m/>
    <m/>
  </r>
  <r>
    <x v="1"/>
    <s v="Data Security Classifications"/>
    <s v="Data security and privacy classifications have been applied to all associated data"/>
    <m/>
    <m/>
    <m/>
    <s v="Developing"/>
    <s v="Definition"/>
    <x v="9"/>
    <s v="Information Architecture"/>
    <m/>
    <m/>
  </r>
  <r>
    <x v="1"/>
    <s v="Report Definition"/>
    <s v="All reports that are needed to support the business have been defined, published and accessible to authorized stakeholders. "/>
    <m/>
    <m/>
    <m/>
    <s v="Developing"/>
    <m/>
    <x v="7"/>
    <s v="Information Architecture"/>
    <m/>
    <m/>
  </r>
  <r>
    <x v="1"/>
    <s v="Measure Definition"/>
    <s v="All measure specifications that are included in the reports have been defined, mapped to the corresponding data elements  and are under formal control by the SMA. "/>
    <m/>
    <m/>
    <m/>
    <s v="Developing"/>
    <m/>
    <x v="7"/>
    <s v="Information Architecture"/>
    <m/>
    <m/>
  </r>
  <r>
    <x v="1"/>
    <s v="Enterprise Data Reference Model Identification"/>
    <s v="Enterprise data reference models (MITA DRM, Conceptual, Logical)  have been identified."/>
    <m/>
    <m/>
    <m/>
    <s v="Developing"/>
    <m/>
    <x v="3"/>
    <s v="Information Architecture"/>
    <m/>
    <m/>
  </r>
  <r>
    <x v="1"/>
    <s v="Content Taxonomy Identification"/>
    <s v="A content taxonomy structure has been developed to organize the content needed to support the capability. "/>
    <m/>
    <m/>
    <m/>
    <s v="Developing"/>
    <m/>
    <x v="8"/>
    <s v="Information Architecture"/>
    <m/>
    <m/>
  </r>
  <r>
    <x v="2"/>
    <s v="Enterprise Data Model Alignment"/>
    <s v="All data stored in the associated data stores align to enterprise data reference models and definitions. (e.g. Enterprise Conceptual Data Model/Logical Data Model) "/>
    <m/>
    <m/>
    <s v="- Develop Enterprise Conceptual Data Model _x000a_- Develop Enterprise Logical Data Model_x000a_- Map Current Data to Enterprise Conceptual Data Model_x000a_- Map Current Data to Enterprise Logical Data Model"/>
    <s v="Definition"/>
    <m/>
    <x v="3"/>
    <s v="Information Architecture"/>
    <s v="Artifact Review"/>
    <s v="Mapping Specification"/>
  </r>
  <r>
    <x v="2"/>
    <s v="MITA Data Reference Model Alignment"/>
    <s v="All data stored in the associated data stores align to the MITA 4.0 Data Reference Model. "/>
    <m/>
    <s v="Enables the SMA to work with other SMA's and CMS to identify leverage, reuse and standardization opportunities. "/>
    <m/>
    <s v="Definition"/>
    <s v="Standardization"/>
    <x v="3"/>
    <s v="Information Architecture"/>
    <s v="Artifact Review"/>
    <s v="Mapping Specification"/>
  </r>
  <r>
    <x v="2"/>
    <s v="Data Performance Measure Definition"/>
    <s v="Data performance measures and metrics (e.g. Data Quality, Data Accessibility) have been established to assess the performance of the associated data."/>
    <m/>
    <m/>
    <m/>
    <s v="Definition"/>
    <s v="Measurement"/>
    <x v="0"/>
    <s v="Information Architecture"/>
    <m/>
    <m/>
  </r>
  <r>
    <x v="2"/>
    <s v="Vocabulary Data Standard Crosswalks"/>
    <s v="Crosswalks have been established for all reference code sets that deviate from the required vocabulary/reference data standards. "/>
    <m/>
    <m/>
    <m/>
    <s v="Definition"/>
    <s v="Standardization"/>
    <x v="5"/>
    <s v="Information Architecture"/>
    <m/>
    <m/>
  </r>
  <r>
    <x v="2"/>
    <s v="Reference Data Definition"/>
    <s v="All associated reference data (e.g. Code Sets, Code Values) have been defined and aligned to their associated data elements. "/>
    <m/>
    <m/>
    <m/>
    <s v="Definition"/>
    <s v="Standardization"/>
    <x v="5"/>
    <s v="Information Architecture"/>
    <m/>
    <m/>
  </r>
  <r>
    <x v="2"/>
    <s v="Data Governance Role Assignments"/>
    <s v="Data governance roles (e.g. Data owners, custodians) have been assigned for all associated data. "/>
    <m/>
    <s v="Establishes accountability and stewardship for data management activities."/>
    <m/>
    <s v="Definition"/>
    <m/>
    <x v="1"/>
    <s v="Role"/>
    <m/>
    <m/>
  </r>
  <r>
    <x v="2"/>
    <s v="Business Process Alignment"/>
    <s v="The associated data has been mapped to the business processes that access it. "/>
    <m/>
    <m/>
    <m/>
    <s v="Definition"/>
    <m/>
    <x v="3"/>
    <s v="Information Architecture"/>
    <m/>
    <m/>
  </r>
  <r>
    <x v="2"/>
    <s v="Application Alignment"/>
    <s v="The associated data have been mapped to the applications that access it."/>
    <m/>
    <m/>
    <m/>
    <s v="Definition"/>
    <m/>
    <x v="3"/>
    <s v="Information Architecture"/>
    <m/>
    <m/>
  </r>
  <r>
    <x v="2"/>
    <s v="Mastered Data"/>
    <s v="There is a golden record established for all associated entities (e.g. Member, Provider) and the SMA can identify unique entities. "/>
    <m/>
    <m/>
    <m/>
    <s v="Definition"/>
    <m/>
    <x v="2"/>
    <s v="Information Architecture"/>
    <m/>
    <m/>
  </r>
  <r>
    <x v="2"/>
    <s v="Document Text Conversion"/>
    <s v="All documents are translated into machine-readable text and is accessible to authroized stakeholders"/>
    <m/>
    <m/>
    <m/>
    <s v="Definition"/>
    <m/>
    <x v="8"/>
    <s v="Information Architecture"/>
    <m/>
    <m/>
  </r>
  <r>
    <x v="2"/>
    <s v="Data Impact Analysis"/>
    <s v="The potential impacts and consequences on the SMA should certain events occur which jeapordize the confidentiality, integrity or availability of the associated data have been identified and is tracked."/>
    <m/>
    <m/>
    <m/>
    <s v="Definition"/>
    <m/>
    <x v="9"/>
    <s v="Information Architecture"/>
    <m/>
    <m/>
  </r>
  <r>
    <x v="2"/>
    <s v="Operational Data Storage"/>
    <s v="The associated data is accessible to authroized stakeholders to easily support day-to-day operations. "/>
    <m/>
    <m/>
    <m/>
    <s v="Definition"/>
    <m/>
    <x v="10"/>
    <s v="Information Architecture"/>
    <m/>
    <m/>
  </r>
  <r>
    <x v="2"/>
    <s v="Analytical Data Storage"/>
    <s v="The associated data is accessible to authorized stakeholders to easily support historical/analycal purposes. "/>
    <m/>
    <m/>
    <m/>
    <s v="Definition"/>
    <m/>
    <x v="10"/>
    <s v="Information Architecture"/>
    <m/>
    <m/>
  </r>
  <r>
    <x v="2"/>
    <s v="Report Data Source Tracking"/>
    <s v="The data needed to support each report has been identfiied and is being tracked by the SMA to identify data impacts on reporting. "/>
    <m/>
    <m/>
    <m/>
    <s v="Definition"/>
    <m/>
    <x v="7"/>
    <s v="Information Architecture"/>
    <m/>
    <m/>
  </r>
  <r>
    <x v="2"/>
    <s v="Data Performance Baseline"/>
    <s v="A baseline assessment has been performed to assess the current performance of the data based on the identified data performance measures. "/>
    <m/>
    <s v="Establishes a reference point for measuring data performance improvements over time."/>
    <m/>
    <s v="Definition"/>
    <m/>
    <x v="1"/>
    <s v="Information Architecture"/>
    <m/>
    <m/>
  </r>
  <r>
    <x v="2"/>
    <s v="Target Data Quality Measure Development"/>
    <s v="The associated information has target data quality levels have been established. "/>
    <m/>
    <m/>
    <m/>
    <s v="Definition"/>
    <m/>
    <x v="0"/>
    <s v="Information Architecture"/>
    <m/>
    <m/>
  </r>
  <r>
    <x v="2"/>
    <s v="Data Performance Standards"/>
    <s v="Data performance standards have been established for the identified data performance measures. "/>
    <m/>
    <s v="Sets clear expectations for data quality and performance across the organization."/>
    <m/>
    <s v="Definition"/>
    <m/>
    <x v="1"/>
    <s v="Information Architecture"/>
    <m/>
    <m/>
  </r>
  <r>
    <x v="2"/>
    <s v="Data Structure Standard Mapping"/>
    <s v="Mapping specifications have been established for all data exchanges  to the associated structure data standard if the data exchange deviates from the defined data structure standard. "/>
    <m/>
    <m/>
    <m/>
    <s v="Definition"/>
    <m/>
    <x v="6"/>
    <s v="Information Architecture"/>
    <m/>
    <m/>
  </r>
  <r>
    <x v="2"/>
    <s v="Content Taxonomy Definition"/>
    <s v="Content needed to support the capability have been aligned to the content taxonomy structure. "/>
    <m/>
    <m/>
    <m/>
    <s v="Definition"/>
    <m/>
    <x v="8"/>
    <s v="Information Architecture"/>
    <m/>
    <m/>
  </r>
  <r>
    <x v="3"/>
    <s v="Metadata Management Capability Assessment"/>
    <s v="A MITA maturity assessment has been performed to assess the enterprise metadata management capability. "/>
    <m/>
    <m/>
    <m/>
    <s v="Managed"/>
    <m/>
    <x v="4"/>
    <s v="Information Architecture"/>
    <m/>
    <m/>
  </r>
  <r>
    <x v="3"/>
    <s v="Document &amp; Content Capability Assessment"/>
    <s v="A MITA maturity assessment has been performed to assess the enterprise document &amp; content management capability."/>
    <m/>
    <m/>
    <m/>
    <s v="Managed"/>
    <m/>
    <x v="8"/>
    <s v="Information Architecture"/>
    <m/>
    <m/>
  </r>
  <r>
    <x v="3"/>
    <s v="Master Data Management Capability Assessment"/>
    <s v="A MITA maturity assessment has been performed to assess the enterprise master data management capability. "/>
    <m/>
    <m/>
    <m/>
    <s v="Managed"/>
    <m/>
    <x v="2"/>
    <s v="Information Architecture"/>
    <m/>
    <m/>
  </r>
  <r>
    <x v="3"/>
    <s v="Reference Data Management Capability Assessment"/>
    <s v="A MITA maturity assessment has been performed to assess the enterprise reference data management capability. "/>
    <m/>
    <m/>
    <m/>
    <s v="Managed"/>
    <m/>
    <x v="5"/>
    <s v="Information Architecture"/>
    <m/>
    <m/>
  </r>
  <r>
    <x v="3"/>
    <s v="Business Intelligence &amp; Data Science Capability Assessment"/>
    <s v="A MITA maturity assessment has been performed to assess the enterprise business intelligence &amp; data science capability. "/>
    <m/>
    <m/>
    <m/>
    <s v="Managed"/>
    <m/>
    <x v="7"/>
    <s v="Information Architecture"/>
    <m/>
    <m/>
  </r>
  <r>
    <x v="3"/>
    <s v="Data Storage &amp; Warehousing Capability Assessment"/>
    <s v="A MITA maturity assessment has been performed to assess the enterprise Data Storage &amp; Warehousing capability."/>
    <m/>
    <m/>
    <m/>
    <s v="Managed"/>
    <m/>
    <x v="10"/>
    <s v="Information Architecture"/>
    <m/>
    <m/>
  </r>
  <r>
    <x v="3"/>
    <s v="Data Architecture, Modeling &amp; Design Capability Assessment"/>
    <s v="A MITA maturity assessment has been performed to assess the enterprise Data Architecture, Modeling &amp; Design capability. "/>
    <m/>
    <m/>
    <m/>
    <s v="Managed"/>
    <m/>
    <x v="3"/>
    <s v="Information Architecture"/>
    <m/>
    <m/>
  </r>
  <r>
    <x v="3"/>
    <s v="Data Security &amp; Privacy Capability Assessment"/>
    <s v="A MITA maturity assessment has been performed to assess the enterprise data security &amp; privacy capability."/>
    <m/>
    <m/>
    <m/>
    <s v="Managed"/>
    <m/>
    <x v="9"/>
    <s v="Information Architecture"/>
    <m/>
    <m/>
  </r>
  <r>
    <x v="3"/>
    <s v="Data Quality Assessments"/>
    <s v="Data quality assessments are performed and reported to impacted data users and producers to regularly to monitor the quality of the data. "/>
    <m/>
    <m/>
    <m/>
    <s v="Managed"/>
    <m/>
    <x v="0"/>
    <s v="Information Architecture"/>
    <m/>
    <m/>
  </r>
  <r>
    <x v="3"/>
    <s v="Data Integration &amp; Interoperability Capability Assessment"/>
    <s v="A MITA maturity assessment has been performed to assess the enterprise data integration &amp; interoperability capability. "/>
    <m/>
    <m/>
    <m/>
    <s v="Managed"/>
    <m/>
    <x v="6"/>
    <s v="Information Architecture"/>
    <m/>
    <m/>
  </r>
  <r>
    <x v="3"/>
    <s v="Data Quality Capability Assessment"/>
    <s v="A MITA maturity assessment has been performed to assess the enterprise data quality capability. "/>
    <m/>
    <m/>
    <m/>
    <s v="Managed"/>
    <m/>
    <x v="0"/>
    <s v="Information Architecture"/>
    <m/>
    <m/>
  </r>
  <r>
    <x v="3"/>
    <s v="Data Governance Capability Assessment"/>
    <s v="An assessment has been performed to assess the enterprise data governance capability."/>
    <m/>
    <s v="Identifies strengths and gaps in data governance for targeted improvement."/>
    <m/>
    <s v="Managed"/>
    <m/>
    <x v="1"/>
    <s v="Information Architecture"/>
    <m/>
    <m/>
  </r>
  <r>
    <x v="3"/>
    <s v="Data Performance Assessment"/>
    <s v="An assessment is performed regularly (e.g. Monthly) to assess the performance of the data using predefined data performance measures."/>
    <m/>
    <s v="Ensures ongoing monitoring and management of data performance to meet business needs."/>
    <m/>
    <s v="Managed"/>
    <s v="Measurement"/>
    <x v="1"/>
    <s v="Information Architecture"/>
    <m/>
    <m/>
  </r>
  <r>
    <x v="4"/>
    <s v="Data Quality Improvement"/>
    <s v="Data quality improvement plans are developed and implemented to address known data quality issues. "/>
    <m/>
    <m/>
    <m/>
    <s v="Optimizing"/>
    <m/>
    <x v="0"/>
    <s v="Information Architecture"/>
    <m/>
    <m/>
  </r>
  <r>
    <x v="4"/>
    <s v="Data Management Capability Maturity Assessment"/>
    <s v="All impacted data management capabilities have been assessed for maturity including gaps and improvement opportunities. "/>
    <m/>
    <m/>
    <m/>
    <s v="Optimizing"/>
    <m/>
    <x v="1"/>
    <s v="Information Architecture"/>
    <m/>
    <m/>
  </r>
  <r>
    <x v="4"/>
    <s v="Data Performance Gap Analysis"/>
    <s v="A gap analysis has been performed to assess the gaps between the target performance standards and the identified performance indicators."/>
    <m/>
    <m/>
    <m/>
    <s v="Optimizing"/>
    <m/>
    <x v="1"/>
    <s v="Information Architecture"/>
    <m/>
    <m/>
  </r>
  <r>
    <x v="4"/>
    <s v="Data Performance Corrections"/>
    <s v="Data performance improvement plans are developed to address gaps in data performance."/>
    <m/>
    <m/>
    <m/>
    <s v="Optimizing"/>
    <m/>
    <x v="1"/>
    <s v="Information Architecture"/>
    <m/>
    <m/>
  </r>
  <r>
    <x v="4"/>
    <s v="Data Performance Improvement "/>
    <s v="Data performance improvement plans have been implemented and has resulted in improvements in the data performance. "/>
    <m/>
    <m/>
    <m/>
    <s v="Optimizing"/>
    <m/>
    <x v="1"/>
    <s v="Information Architecture"/>
    <m/>
    <m/>
  </r>
  <r>
    <x v="4"/>
    <s v="Data Governance Maturity Improvement"/>
    <s v="Improvement plans have been developed and implementation initiated to address gaps in the SMA's data governance maturity and the impacted data is aligned to the enterprise vision for improving data governance. "/>
    <m/>
    <m/>
    <m/>
    <s v="Optimizing"/>
    <m/>
    <x v="1"/>
    <s v="Information Architecture"/>
    <m/>
    <m/>
  </r>
  <r>
    <x v="4"/>
    <s v="Data Quality Maturity Improvement"/>
    <s v="Improvement plans have been developed and implementation initiated to address gaps in the SMA's data quality maturity and the impacted data is aligned to the enterprise vision for improving data quality. "/>
    <m/>
    <m/>
    <m/>
    <s v="Optimizing"/>
    <m/>
    <x v="0"/>
    <s v="Information Architecture"/>
    <m/>
    <m/>
  </r>
  <r>
    <x v="4"/>
    <s v="Business Intelligence &amp; Data Science Maturity Improvement"/>
    <s v="Improvement plans have been developed and implemented to address gaps in the SMA's business intelligence and data science maturity and the impacted data is aligned to the enterprise vision for improving business intelligece and data science. "/>
    <m/>
    <m/>
    <m/>
    <s v="Optimizing"/>
    <m/>
    <x v="7"/>
    <s v="Information Architecture"/>
    <m/>
    <m/>
  </r>
  <r>
    <x v="4"/>
    <s v="Data Storage &amp; Warehousing Maturity Improvement"/>
    <s v="Improvement plans have been developed and implemented to address gaps in the SMA's data storage and warehousing maturity and the impacted data is aligned to the enterprise vision for improving data storage and warehousing. "/>
    <m/>
    <m/>
    <m/>
    <s v="Optimizing"/>
    <m/>
    <x v="10"/>
    <s v="Information Architecture"/>
    <m/>
    <m/>
  </r>
  <r>
    <x v="4"/>
    <s v="Metadata Management Maturity Improvement"/>
    <s v="Improvement plans have been developed and implemented to address gaps in the SMA's metadata management maturity and the impacted data is aligned to the enterprise vision for improving metadata. "/>
    <m/>
    <m/>
    <m/>
    <s v="Optimizing"/>
    <m/>
    <x v="4"/>
    <s v="Information Architecture"/>
    <m/>
    <m/>
  </r>
  <r>
    <x v="4"/>
    <s v="Data Architecture, Modeling &amp; Design Maturity Improvement"/>
    <s v="Improvement plans have been developed and implemented to address gaps in the SMA's data architecture &amp; modeling maturity and the impacted data is aligned to the enterprise vision for improving data architecture and modeling. "/>
    <m/>
    <m/>
    <m/>
    <s v="Optimizing"/>
    <m/>
    <x v="3"/>
    <s v="Information Architecture"/>
    <m/>
    <m/>
  </r>
  <r>
    <x v="4"/>
    <s v="Master Data Management Maturity Improvement"/>
    <s v="Improvement plans have been developed and implemented to address gaps in the SMA's master data management maturity and the impacted data is aligned to the enterprise vision for improving master data management. "/>
    <m/>
    <m/>
    <m/>
    <s v="Optimizing"/>
    <m/>
    <x v="2"/>
    <s v="Information Architecture"/>
    <m/>
    <m/>
  </r>
  <r>
    <x v="4"/>
    <s v="Reference Data Management Maturity Improvement"/>
    <s v="Improvement plans have been developed and implemented to address gaps in the SMA's reference data management maturity and the impacted data is aligned to the enterprise vision for improving reference data. "/>
    <m/>
    <m/>
    <m/>
    <s v="Optimizing"/>
    <m/>
    <x v="5"/>
    <s v="Information Architecture"/>
    <m/>
    <m/>
  </r>
  <r>
    <x v="4"/>
    <s v="Data Integration &amp; Interoperability Maturity Improvement"/>
    <s v="Improvement plans have been developed and implemented to address gaps in the SMA's data integration &amp; interoperability maturity and the impacted data is aligned to the enterprise vision for improving data integration &amp; Interoperability. "/>
    <m/>
    <m/>
    <m/>
    <s v="Optimizing"/>
    <m/>
    <x v="6"/>
    <s v="Information Architecture"/>
    <m/>
    <m/>
  </r>
  <r>
    <x v="4"/>
    <s v="Data Security &amp; Privacy Maturity Improvement"/>
    <s v="Improvement plans have been developed and implemented to address gaps in the SMA's data security &amp; privacy maturity and the impacted data is aligned to the enterprise vision for improving data security &amp; privacy. "/>
    <m/>
    <m/>
    <m/>
    <s v="Optimizing"/>
    <m/>
    <x v="9"/>
    <s v="Information Architecture"/>
    <m/>
    <m/>
  </r>
  <r>
    <x v="4"/>
    <s v="Document &amp; Content Maturity Improvement"/>
    <s v="Improvement plans have been developed and implemented to address gaps in the SMA's document &amp; content management maturity and the impacted data is aligned to the enterprise vision for improving document &amp; content. "/>
    <m/>
    <m/>
    <m/>
    <s v="Optimizing"/>
    <m/>
    <x v="8"/>
    <s v="Information Architecture"/>
    <m/>
    <m/>
  </r>
  <r>
    <x v="5"/>
    <s v="Data Evolution"/>
    <m/>
    <m/>
    <m/>
    <m/>
    <m/>
    <m/>
    <x v="11"/>
    <m/>
    <m/>
    <m/>
  </r>
  <r>
    <x v="5"/>
    <s v="PHI/PII/Senstive Data Identified"/>
    <m/>
    <m/>
    <m/>
    <m/>
    <m/>
    <m/>
    <x v="11"/>
    <m/>
    <m/>
    <m/>
  </r>
  <r>
    <x v="5"/>
    <s v="Data Retention"/>
    <m/>
    <m/>
    <m/>
    <m/>
    <m/>
    <m/>
    <x v="11"/>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320F74-8A3B-6B47-8295-4B6D68A275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17" firstHeaderRow="1" firstDataRow="2" firstDataCol="1"/>
  <pivotFields count="12">
    <pivotField axis="axisCol" showAll="0" sortType="ascending">
      <items count="7">
        <item x="0"/>
        <item x="1"/>
        <item x="2"/>
        <item x="3"/>
        <item x="4"/>
        <item x="5"/>
        <item t="default"/>
      </items>
    </pivotField>
    <pivotField dataField="1" showAll="0"/>
    <pivotField showAll="0"/>
    <pivotField showAll="0"/>
    <pivotField showAll="0"/>
    <pivotField showAll="0"/>
    <pivotField showAll="0"/>
    <pivotField showAll="0"/>
    <pivotField axis="axisRow" showAll="0">
      <items count="14">
        <item x="7"/>
        <item x="3"/>
        <item x="1"/>
        <item x="6"/>
        <item x="0"/>
        <item x="9"/>
        <item x="10"/>
        <item x="8"/>
        <item x="2"/>
        <item m="1" x="12"/>
        <item x="4"/>
        <item x="5"/>
        <item x="11"/>
        <item t="default"/>
      </items>
    </pivotField>
    <pivotField showAll="0"/>
    <pivotField showAll="0"/>
    <pivotField showAll="0"/>
  </pivotFields>
  <rowFields count="1">
    <field x="8"/>
  </rowFields>
  <rowItems count="13">
    <i>
      <x/>
    </i>
    <i>
      <x v="1"/>
    </i>
    <i>
      <x v="2"/>
    </i>
    <i>
      <x v="3"/>
    </i>
    <i>
      <x v="4"/>
    </i>
    <i>
      <x v="5"/>
    </i>
    <i>
      <x v="6"/>
    </i>
    <i>
      <x v="7"/>
    </i>
    <i>
      <x v="8"/>
    </i>
    <i>
      <x v="10"/>
    </i>
    <i>
      <x v="11"/>
    </i>
    <i>
      <x v="12"/>
    </i>
    <i t="grand">
      <x/>
    </i>
  </rowItems>
  <colFields count="1">
    <field x="0"/>
  </colFields>
  <colItems count="7">
    <i>
      <x/>
    </i>
    <i>
      <x v="1"/>
    </i>
    <i>
      <x v="2"/>
    </i>
    <i>
      <x v="3"/>
    </i>
    <i>
      <x v="4"/>
    </i>
    <i>
      <x v="5"/>
    </i>
    <i t="grand">
      <x/>
    </i>
  </colItems>
  <dataFields count="1">
    <dataField name="Count of Crieria Name" fld="1" subtotal="count" baseField="0" baseItem="0"/>
  </dataFields>
  <formats count="3">
    <format dxfId="33">
      <pivotArea outline="0" collapsedLevelsAreSubtotals="1" fieldPosition="0"/>
    </format>
    <format dxfId="32">
      <pivotArea dataOnly="0" labelOnly="1" fieldPosition="0">
        <references count="1">
          <reference field="0" count="0"/>
        </references>
      </pivotArea>
    </format>
    <format dxfId="31">
      <pivotArea dataOnly="0" labelOnly="1" grandCol="1" outline="0" fieldPosition="0"/>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10BBF7-1C7F-8749-A33B-3CE8F3E7106F}" name="Table1" displayName="Table1" ref="A2:M80" totalsRowShown="0" dataDxfId="30">
  <autoFilter ref="A2:M80" xr:uid="{DB10BBF7-1C7F-8749-A33B-3CE8F3E7106F}"/>
  <sortState xmlns:xlrd2="http://schemas.microsoft.com/office/spreadsheetml/2017/richdata2" ref="A3:M80">
    <sortCondition ref="A2:A80"/>
  </sortState>
  <tableColumns count="13">
    <tableColumn id="1" xr3:uid="{790F1E58-17FC-1148-91D5-43B67EB8B283}" name="Maturity Level" dataDxfId="29">
      <calculatedColumnFormula>VLOOKUP(Table1[[#This Row],[Type]],MaturityLevelDescription,3,FALSE)</calculatedColumnFormula>
    </tableColumn>
    <tableColumn id="2" xr3:uid="{940327A1-6389-1748-A4CB-C778BCBC6E5E}" name="Crieria Name" dataDxfId="28"/>
    <tableColumn id="3" xr3:uid="{EE126C29-7206-6A45-AA44-2043A4A650CA}" name="Criteria" dataDxfId="27"/>
    <tableColumn id="13" xr3:uid="{F1DF59BD-0F13-9E4E-9F78-61C910179279}" name="Summary Question" dataDxfId="26"/>
    <tableColumn id="11" xr3:uid="{F73B9A29-27F8-5849-9443-1A5A493BE321}" name="Detailed Question" dataDxfId="25"/>
    <tableColumn id="4" xr3:uid="{43A55123-3337-D04C-8D2B-454767CDA12F}" name="Rationale" dataDxfId="24"/>
    <tableColumn id="10" xr3:uid="{73504FE4-0A7D-404A-9E0E-521E393429E0}" name="Related Activity (ies)" dataDxfId="23"/>
    <tableColumn id="9" xr3:uid="{ABE4BA8E-FD3D-4148-B2FF-7119324991B5}" name="Type" dataDxfId="22"/>
    <tableColumn id="12" xr3:uid="{62F0B0C6-83C8-5E46-8FBD-E1754DFBD294}" name="Category" dataDxfId="21"/>
    <tableColumn id="8" xr3:uid="{0D273F57-FEC7-BC44-8F22-4CB775B07DC4}" name="Data Management Capability" dataDxfId="20"/>
    <tableColumn id="6" xr3:uid="{CF5E4D45-AEB6-0246-9C59-69B46EAE3C4C}" name="Architecture" dataDxfId="19"/>
    <tableColumn id="5" xr3:uid="{5DD4BD8F-136E-3B4D-B7EF-0AFFACE08A70}" name="Suggested Validation Method" dataDxfId="18"/>
    <tableColumn id="7" xr3:uid="{DCC98D66-A2E6-484B-8098-F27489C51CC8}" name="Suggested Evidence" dataDxfId="17"/>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A389D8-7640-0148-9D34-99B28BCBFD75}" name="Table4" displayName="Table4" ref="A1:F12" totalsRowShown="0" headerRowDxfId="44" dataDxfId="42" headerRowBorderDxfId="43" tableBorderDxfId="41" totalsRowBorderDxfId="40">
  <autoFilter ref="A1:F12" xr:uid="{C4A389D8-7640-0148-9D34-99B28BCBFD75}"/>
  <tableColumns count="6">
    <tableColumn id="1" xr3:uid="{1FC880F8-4499-A54B-8ED8-5AB84BBC074E}" name="Summary Question - Capability Level" dataDxfId="39"/>
    <tableColumn id="2" xr3:uid="{EB81EC0F-D184-B842-94BC-3FF51276BD13}" name="Level 1" dataDxfId="38"/>
    <tableColumn id="3" xr3:uid="{F9657012-09AB-5A4A-A1C1-7AAA876FEEEF}" name="Level 2" dataDxfId="37"/>
    <tableColumn id="4" xr3:uid="{A2F2C4E5-3DE4-B347-84A8-CB5C2D89B7A5}" name="Level 3" dataDxfId="36"/>
    <tableColumn id="5" xr3:uid="{71992CCF-4517-8849-B510-D69984394CFC}" name="Level 4" dataDxfId="35"/>
    <tableColumn id="6" xr3:uid="{739BFE73-9FB1-C141-8C86-3A819BAB7CC9}" name="Level 5" dataDxfId="34"/>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53809B6-B6B3-5F4F-8180-FB556D5803A4}" name="Table5" displayName="Table5" ref="A1:E12" totalsRowShown="0" headerRowDxfId="16" dataDxfId="15">
  <autoFilter ref="A1:E12" xr:uid="{353809B6-B6B3-5F4F-8180-FB556D5803A4}"/>
  <tableColumns count="5">
    <tableColumn id="1" xr3:uid="{863584E7-672F-D34B-ADD6-7D9996E6A679}" name="Summary Question - Enterprise Level" dataDxfId="14"/>
    <tableColumn id="2" xr3:uid="{5E9C83CE-CC47-754B-9A97-6E91C6790EB5}" name="Role Maturity" dataDxfId="13"/>
    <tableColumn id="3" xr3:uid="{BF17C792-49D1-224A-A5CB-00BE5E8949B8}" name="Business Process Maturity" dataDxfId="12"/>
    <tableColumn id="4" xr3:uid="{6CD8AE9E-0865-AC4B-BF09-94D419F0208B}" name="Information Maturity" dataDxfId="11"/>
    <tableColumn id="5" xr3:uid="{55AC0379-A760-2544-BB63-5ABEFED3A98F}" name="Technology Maturity" dataDxfId="10"/>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61A86C-9DD2-AA45-B8AD-E513AFCA2788}" name="Table2" displayName="Table2" ref="A2:B11" totalsRowShown="0" headerRowDxfId="9" dataDxfId="8">
  <autoFilter ref="A2:B11" xr:uid="{B761A86C-9DD2-AA45-B8AD-E513AFCA2788}"/>
  <tableColumns count="2">
    <tableColumn id="1" xr3:uid="{78B9C9ED-B17B-D94A-9391-BDABD5AA14B2}" name="Column" dataDxfId="7"/>
    <tableColumn id="2" xr3:uid="{70839C6B-B665-1B47-B245-FBE9F3A42F46}" name="Description" dataDxfId="6"/>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701EF8-6023-5642-A5C7-007B24217CEE}" name="Table3" displayName="Table3" ref="E2:H7" totalsRowShown="0" headerRowDxfId="5" dataDxfId="4">
  <autoFilter ref="E2:H7" xr:uid="{F2701EF8-6023-5642-A5C7-007B24217CEE}"/>
  <sortState xmlns:xlrd2="http://schemas.microsoft.com/office/spreadsheetml/2017/richdata2" ref="E3:G7">
    <sortCondition ref="G2:G7"/>
  </sortState>
  <tableColumns count="4">
    <tableColumn id="1" xr3:uid="{A36B9287-3587-9D49-B25B-C0A045FE35D4}" name="Type" dataDxfId="3"/>
    <tableColumn id="2" xr3:uid="{27A2DB5E-0DF7-184C-9D6E-76DE662C3139}" name="Description" dataDxfId="2"/>
    <tableColumn id="3" xr3:uid="{1CD67401-24BB-AF4F-BD4B-EC4B6B5B1321}" name="Maturity Level" dataDxfId="1"/>
    <tableColumn id="4" xr3:uid="{C496BDC4-E857-6C4E-93C2-9C84D488936A}" name="Data Description"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0AA4D-DC9D-AD42-8AEC-A285C9D97D5F}">
  <dimension ref="A3:H17"/>
  <sheetViews>
    <sheetView zoomScale="188" workbookViewId="0">
      <selection activeCell="A27" sqref="A27"/>
    </sheetView>
  </sheetViews>
  <sheetFormatPr baseColWidth="10" defaultColWidth="11" defaultRowHeight="16" x14ac:dyDescent="0.2"/>
  <cols>
    <col min="1" max="1" width="31.83203125" bestFit="1" customWidth="1"/>
    <col min="2" max="2" width="16" bestFit="1" customWidth="1"/>
    <col min="3" max="6" width="6.83203125" bestFit="1" customWidth="1"/>
    <col min="7" max="7" width="5.33203125" bestFit="1" customWidth="1"/>
    <col min="8" max="8" width="10.5" bestFit="1" customWidth="1"/>
    <col min="9" max="9" width="22.83203125" bestFit="1" customWidth="1"/>
    <col min="10" max="10" width="9" bestFit="1" customWidth="1"/>
    <col min="11" max="11" width="25.5" bestFit="1" customWidth="1"/>
    <col min="12" max="12" width="7" bestFit="1" customWidth="1"/>
    <col min="13" max="13" width="10.5" bestFit="1" customWidth="1"/>
  </cols>
  <sheetData>
    <row r="3" spans="1:8" x14ac:dyDescent="0.2">
      <c r="A3" s="19" t="s">
        <v>0</v>
      </c>
      <c r="B3" s="19" t="s">
        <v>1</v>
      </c>
    </row>
    <row r="4" spans="1:8" x14ac:dyDescent="0.2">
      <c r="A4" s="19" t="s">
        <v>2</v>
      </c>
      <c r="B4" s="21" t="s">
        <v>3</v>
      </c>
      <c r="C4" s="21" t="s">
        <v>4</v>
      </c>
      <c r="D4" s="21" t="s">
        <v>5</v>
      </c>
      <c r="E4" s="21" t="s">
        <v>6</v>
      </c>
      <c r="F4" s="21" t="s">
        <v>7</v>
      </c>
      <c r="G4" s="21" t="s">
        <v>8</v>
      </c>
      <c r="H4" s="21" t="s">
        <v>9</v>
      </c>
    </row>
    <row r="5" spans="1:8" x14ac:dyDescent="0.2">
      <c r="A5" s="20" t="s">
        <v>10</v>
      </c>
      <c r="B5" s="21">
        <v>2</v>
      </c>
      <c r="C5" s="21">
        <v>2</v>
      </c>
      <c r="D5" s="21">
        <v>1</v>
      </c>
      <c r="E5" s="21">
        <v>1</v>
      </c>
      <c r="F5" s="21">
        <v>1</v>
      </c>
      <c r="G5" s="21"/>
      <c r="H5" s="21">
        <v>7</v>
      </c>
    </row>
    <row r="6" spans="1:8" x14ac:dyDescent="0.2">
      <c r="A6" s="20" t="s">
        <v>11</v>
      </c>
      <c r="B6" s="21">
        <v>1</v>
      </c>
      <c r="C6" s="21">
        <v>1</v>
      </c>
      <c r="D6" s="21">
        <v>4</v>
      </c>
      <c r="E6" s="21">
        <v>1</v>
      </c>
      <c r="F6" s="21">
        <v>1</v>
      </c>
      <c r="G6" s="21"/>
      <c r="H6" s="21">
        <v>8</v>
      </c>
    </row>
    <row r="7" spans="1:8" x14ac:dyDescent="0.2">
      <c r="A7" s="20" t="s">
        <v>12</v>
      </c>
      <c r="B7" s="21">
        <v>2</v>
      </c>
      <c r="C7" s="21">
        <v>1</v>
      </c>
      <c r="D7" s="21">
        <v>3</v>
      </c>
      <c r="E7" s="21">
        <v>2</v>
      </c>
      <c r="F7" s="21">
        <v>5</v>
      </c>
      <c r="G7" s="21"/>
      <c r="H7" s="21">
        <v>13</v>
      </c>
    </row>
    <row r="8" spans="1:8" x14ac:dyDescent="0.2">
      <c r="A8" s="20" t="s">
        <v>13</v>
      </c>
      <c r="B8" s="21">
        <v>1</v>
      </c>
      <c r="C8" s="21">
        <v>1</v>
      </c>
      <c r="D8" s="21">
        <v>1</v>
      </c>
      <c r="E8" s="21">
        <v>1</v>
      </c>
      <c r="F8" s="21">
        <v>1</v>
      </c>
      <c r="G8" s="21"/>
      <c r="H8" s="21">
        <v>5</v>
      </c>
    </row>
    <row r="9" spans="1:8" x14ac:dyDescent="0.2">
      <c r="A9" s="20" t="s">
        <v>14</v>
      </c>
      <c r="B9" s="21">
        <v>2</v>
      </c>
      <c r="C9" s="21">
        <v>1</v>
      </c>
      <c r="D9" s="21">
        <v>2</v>
      </c>
      <c r="E9" s="21">
        <v>2</v>
      </c>
      <c r="F9" s="21">
        <v>2</v>
      </c>
      <c r="G9" s="21"/>
      <c r="H9" s="21">
        <v>9</v>
      </c>
    </row>
    <row r="10" spans="1:8" x14ac:dyDescent="0.2">
      <c r="A10" s="20" t="s">
        <v>15</v>
      </c>
      <c r="B10" s="21"/>
      <c r="C10" s="21">
        <v>1</v>
      </c>
      <c r="D10" s="21">
        <v>1</v>
      </c>
      <c r="E10" s="21">
        <v>1</v>
      </c>
      <c r="F10" s="21">
        <v>1</v>
      </c>
      <c r="G10" s="21"/>
      <c r="H10" s="21">
        <v>4</v>
      </c>
    </row>
    <row r="11" spans="1:8" x14ac:dyDescent="0.2">
      <c r="A11" s="20" t="s">
        <v>16</v>
      </c>
      <c r="B11" s="21"/>
      <c r="C11" s="21"/>
      <c r="D11" s="21">
        <v>2</v>
      </c>
      <c r="E11" s="21">
        <v>1</v>
      </c>
      <c r="F11" s="21">
        <v>1</v>
      </c>
      <c r="G11" s="21"/>
      <c r="H11" s="21">
        <v>4</v>
      </c>
    </row>
    <row r="12" spans="1:8" x14ac:dyDescent="0.2">
      <c r="A12" s="20" t="s">
        <v>17</v>
      </c>
      <c r="B12" s="21">
        <v>1</v>
      </c>
      <c r="C12" s="21">
        <v>1</v>
      </c>
      <c r="D12" s="21">
        <v>2</v>
      </c>
      <c r="E12" s="21">
        <v>1</v>
      </c>
      <c r="F12" s="21">
        <v>1</v>
      </c>
      <c r="G12" s="21"/>
      <c r="H12" s="21">
        <v>6</v>
      </c>
    </row>
    <row r="13" spans="1:8" x14ac:dyDescent="0.2">
      <c r="A13" s="20" t="s">
        <v>18</v>
      </c>
      <c r="B13" s="21">
        <v>2</v>
      </c>
      <c r="C13" s="21"/>
      <c r="D13" s="21">
        <v>1</v>
      </c>
      <c r="E13" s="21">
        <v>1</v>
      </c>
      <c r="F13" s="21">
        <v>1</v>
      </c>
      <c r="G13" s="21"/>
      <c r="H13" s="21">
        <v>5</v>
      </c>
    </row>
    <row r="14" spans="1:8" x14ac:dyDescent="0.2">
      <c r="A14" s="20" t="s">
        <v>19</v>
      </c>
      <c r="B14" s="21">
        <v>1</v>
      </c>
      <c r="C14" s="21">
        <v>1</v>
      </c>
      <c r="D14" s="21"/>
      <c r="E14" s="21">
        <v>1</v>
      </c>
      <c r="F14" s="21">
        <v>1</v>
      </c>
      <c r="G14" s="21"/>
      <c r="H14" s="21">
        <v>4</v>
      </c>
    </row>
    <row r="15" spans="1:8" x14ac:dyDescent="0.2">
      <c r="A15" s="20" t="s">
        <v>20</v>
      </c>
      <c r="B15" s="21">
        <v>1</v>
      </c>
      <c r="C15" s="21">
        <v>1</v>
      </c>
      <c r="D15" s="21">
        <v>2</v>
      </c>
      <c r="E15" s="21">
        <v>1</v>
      </c>
      <c r="F15" s="21">
        <v>1</v>
      </c>
      <c r="G15" s="21"/>
      <c r="H15" s="21">
        <v>6</v>
      </c>
    </row>
    <row r="16" spans="1:8" x14ac:dyDescent="0.2">
      <c r="A16" s="20" t="s">
        <v>21</v>
      </c>
      <c r="B16" s="21"/>
      <c r="C16" s="21"/>
      <c r="D16" s="21"/>
      <c r="E16" s="21"/>
      <c r="F16" s="21"/>
      <c r="G16" s="21">
        <v>3</v>
      </c>
      <c r="H16" s="21">
        <v>3</v>
      </c>
    </row>
    <row r="17" spans="1:8" x14ac:dyDescent="0.2">
      <c r="A17" s="20" t="s">
        <v>9</v>
      </c>
      <c r="B17" s="21">
        <v>13</v>
      </c>
      <c r="C17" s="21">
        <v>10</v>
      </c>
      <c r="D17" s="21">
        <v>19</v>
      </c>
      <c r="E17" s="21">
        <v>13</v>
      </c>
      <c r="F17" s="21">
        <v>16</v>
      </c>
      <c r="G17" s="21">
        <v>3</v>
      </c>
      <c r="H17" s="21">
        <v>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3C8A0-7A27-2F49-B402-AD2FEB14965F}">
  <dimension ref="A2:M80"/>
  <sheetViews>
    <sheetView zoomScaleNormal="90" workbookViewId="0">
      <selection activeCell="F87" sqref="F87"/>
    </sheetView>
  </sheetViews>
  <sheetFormatPr baseColWidth="10" defaultColWidth="11" defaultRowHeight="16" x14ac:dyDescent="0.2"/>
  <cols>
    <col min="1" max="1" width="15.6640625" customWidth="1"/>
    <col min="2" max="2" width="35" style="1" customWidth="1"/>
    <col min="3" max="3" width="63.33203125" style="1" customWidth="1"/>
    <col min="4" max="4" width="40.33203125" style="1" customWidth="1"/>
    <col min="5" max="5" width="35.1640625" style="1" customWidth="1"/>
    <col min="6" max="6" width="37.6640625" customWidth="1"/>
    <col min="7" max="7" width="29.6640625" customWidth="1"/>
    <col min="8" max="8" width="19.1640625" customWidth="1"/>
    <col min="9" max="9" width="28.6640625" customWidth="1"/>
    <col min="10" max="10" width="31" customWidth="1"/>
    <col min="11" max="11" width="26.6640625" customWidth="1"/>
    <col min="12" max="12" width="28.1640625" customWidth="1"/>
    <col min="13" max="13" width="25.83203125" customWidth="1"/>
  </cols>
  <sheetData>
    <row r="2" spans="1:13" ht="17" x14ac:dyDescent="0.2">
      <c r="A2" t="s">
        <v>22</v>
      </c>
      <c r="B2" s="1" t="s">
        <v>23</v>
      </c>
      <c r="C2" s="1" t="s">
        <v>24</v>
      </c>
      <c r="D2" s="1" t="s">
        <v>25</v>
      </c>
      <c r="E2" s="1" t="s">
        <v>26</v>
      </c>
      <c r="F2" t="s">
        <v>27</v>
      </c>
      <c r="G2" t="s">
        <v>28</v>
      </c>
      <c r="H2" t="s">
        <v>29</v>
      </c>
      <c r="I2" t="s">
        <v>30</v>
      </c>
      <c r="J2" t="s">
        <v>31</v>
      </c>
      <c r="K2" t="s">
        <v>32</v>
      </c>
      <c r="L2" t="s">
        <v>33</v>
      </c>
      <c r="M2" t="s">
        <v>34</v>
      </c>
    </row>
    <row r="3" spans="1:13" ht="51" x14ac:dyDescent="0.2">
      <c r="A3" s="2" t="str">
        <f>VLOOKUP(Table1[[#This Row],[Type]],MaturityLevelDescription,3,FALSE)</f>
        <v>Level 1</v>
      </c>
      <c r="B3" s="5" t="s">
        <v>35</v>
      </c>
      <c r="C3" s="3" t="s">
        <v>36</v>
      </c>
      <c r="D3" s="27"/>
      <c r="E3" s="3" t="s">
        <v>37</v>
      </c>
      <c r="F3" s="23" t="s">
        <v>38</v>
      </c>
      <c r="G3" s="2"/>
      <c r="H3" s="2" t="s">
        <v>39</v>
      </c>
      <c r="I3" s="2" t="s">
        <v>40</v>
      </c>
      <c r="J3" s="3" t="s">
        <v>12</v>
      </c>
      <c r="K3" s="2" t="s">
        <v>41</v>
      </c>
      <c r="L3" s="2"/>
      <c r="M3" s="2"/>
    </row>
    <row r="4" spans="1:13" ht="51" x14ac:dyDescent="0.2">
      <c r="A4" s="2" t="str">
        <f>VLOOKUP(Table1[[#This Row],[Type]],MaturityLevelDescription,3,FALSE)</f>
        <v>Level 1</v>
      </c>
      <c r="B4" s="5" t="s">
        <v>42</v>
      </c>
      <c r="C4" s="3" t="s">
        <v>43</v>
      </c>
      <c r="D4" s="3" t="s">
        <v>44</v>
      </c>
      <c r="E4" s="3" t="s">
        <v>45</v>
      </c>
      <c r="F4" s="23" t="s">
        <v>46</v>
      </c>
      <c r="G4" s="2"/>
      <c r="H4" s="2" t="s">
        <v>39</v>
      </c>
      <c r="I4" s="2"/>
      <c r="J4" s="3" t="s">
        <v>13</v>
      </c>
      <c r="K4" s="2" t="s">
        <v>41</v>
      </c>
      <c r="L4" s="2"/>
      <c r="M4" s="2"/>
    </row>
    <row r="5" spans="1:13" ht="51" x14ac:dyDescent="0.2">
      <c r="A5" s="2" t="str">
        <f>VLOOKUP(Table1[[#This Row],[Type]],MaturityLevelDescription,3,FALSE)</f>
        <v>Level 1</v>
      </c>
      <c r="B5" s="5" t="s">
        <v>47</v>
      </c>
      <c r="C5" s="33" t="s">
        <v>48</v>
      </c>
      <c r="D5" s="33" t="s">
        <v>49</v>
      </c>
      <c r="E5" s="33" t="s">
        <v>50</v>
      </c>
      <c r="F5" s="24" t="s">
        <v>51</v>
      </c>
      <c r="G5" s="2"/>
      <c r="H5" s="2" t="s">
        <v>39</v>
      </c>
      <c r="I5" s="2"/>
      <c r="J5" s="3" t="s">
        <v>14</v>
      </c>
      <c r="K5" s="2" t="s">
        <v>41</v>
      </c>
      <c r="L5" s="2"/>
      <c r="M5" s="2"/>
    </row>
    <row r="6" spans="1:13" ht="51" x14ac:dyDescent="0.2">
      <c r="A6" s="2" t="str">
        <f>VLOOKUP(Table1[[#This Row],[Type]],MaturityLevelDescription,3,FALSE)</f>
        <v>Level 1</v>
      </c>
      <c r="B6" s="5" t="s">
        <v>52</v>
      </c>
      <c r="C6" s="35" t="s">
        <v>53</v>
      </c>
      <c r="D6" s="35" t="s">
        <v>54</v>
      </c>
      <c r="E6" s="35" t="s">
        <v>55</v>
      </c>
      <c r="F6" s="23" t="s">
        <v>56</v>
      </c>
      <c r="G6" s="2"/>
      <c r="H6" s="2" t="s">
        <v>39</v>
      </c>
      <c r="I6" s="2" t="s">
        <v>40</v>
      </c>
      <c r="J6" s="3" t="s">
        <v>12</v>
      </c>
      <c r="K6" s="2" t="s">
        <v>41</v>
      </c>
      <c r="L6" s="2"/>
      <c r="M6" s="2"/>
    </row>
    <row r="7" spans="1:13" ht="51" x14ac:dyDescent="0.2">
      <c r="A7" s="2" t="str">
        <f>VLOOKUP(Table1[[#This Row],[Type]],MaturityLevelDescription,3,FALSE)</f>
        <v>Level 1</v>
      </c>
      <c r="B7" s="5" t="s">
        <v>57</v>
      </c>
      <c r="C7" s="33" t="s">
        <v>58</v>
      </c>
      <c r="D7" s="33" t="s">
        <v>49</v>
      </c>
      <c r="E7" s="33" t="s">
        <v>59</v>
      </c>
      <c r="F7" s="24" t="s">
        <v>60</v>
      </c>
      <c r="G7" s="2"/>
      <c r="H7" s="2" t="s">
        <v>39</v>
      </c>
      <c r="I7" s="2"/>
      <c r="J7" s="3" t="s">
        <v>14</v>
      </c>
      <c r="K7" s="2" t="s">
        <v>41</v>
      </c>
      <c r="L7" s="2"/>
      <c r="M7" s="2"/>
    </row>
    <row r="8" spans="1:13" ht="51" x14ac:dyDescent="0.2">
      <c r="A8" s="2" t="str">
        <f>VLOOKUP(Table1[[#This Row],[Type]],MaturityLevelDescription,3,FALSE)</f>
        <v>Level 1</v>
      </c>
      <c r="B8" s="5" t="s">
        <v>61</v>
      </c>
      <c r="C8" s="3" t="s">
        <v>62</v>
      </c>
      <c r="D8" s="3" t="s">
        <v>63</v>
      </c>
      <c r="E8" s="3" t="s">
        <v>64</v>
      </c>
      <c r="F8" s="23" t="s">
        <v>65</v>
      </c>
      <c r="G8" s="2"/>
      <c r="H8" s="2" t="s">
        <v>39</v>
      </c>
      <c r="I8" s="2"/>
      <c r="J8" s="3" t="s">
        <v>17</v>
      </c>
      <c r="K8" s="2" t="s">
        <v>41</v>
      </c>
      <c r="L8" s="2"/>
      <c r="M8" s="2"/>
    </row>
    <row r="9" spans="1:13" ht="51" x14ac:dyDescent="0.2">
      <c r="A9" s="2" t="str">
        <f>VLOOKUP(Table1[[#This Row],[Type]],MaturityLevelDescription,3,FALSE)</f>
        <v>Level 1</v>
      </c>
      <c r="B9" s="5" t="s">
        <v>66</v>
      </c>
      <c r="C9" s="3" t="s">
        <v>67</v>
      </c>
      <c r="D9" s="3" t="s">
        <v>68</v>
      </c>
      <c r="E9" s="3" t="s">
        <v>69</v>
      </c>
      <c r="F9" s="23" t="s">
        <v>70</v>
      </c>
      <c r="G9" s="2"/>
      <c r="H9" s="2" t="s">
        <v>39</v>
      </c>
      <c r="I9" s="2"/>
      <c r="J9" s="3" t="s">
        <v>11</v>
      </c>
      <c r="K9" s="2" t="s">
        <v>41</v>
      </c>
      <c r="L9" s="2"/>
      <c r="M9" s="2"/>
    </row>
    <row r="10" spans="1:13" ht="51" x14ac:dyDescent="0.2">
      <c r="A10" s="2" t="str">
        <f>VLOOKUP(Table1[[#This Row],[Type]],MaturityLevelDescription,3,FALSE)</f>
        <v>Level 1</v>
      </c>
      <c r="B10" s="41" t="s">
        <v>71</v>
      </c>
      <c r="C10" s="3" t="s">
        <v>72</v>
      </c>
      <c r="D10" s="3" t="s">
        <v>73</v>
      </c>
      <c r="E10" s="3" t="s">
        <v>74</v>
      </c>
      <c r="F10" s="23" t="s">
        <v>75</v>
      </c>
      <c r="G10" s="2"/>
      <c r="H10" s="2" t="s">
        <v>39</v>
      </c>
      <c r="I10" s="2"/>
      <c r="J10" s="3" t="s">
        <v>18</v>
      </c>
      <c r="K10" s="2" t="s">
        <v>41</v>
      </c>
      <c r="L10" s="2"/>
      <c r="M10" s="2"/>
    </row>
    <row r="11" spans="1:13" ht="68" x14ac:dyDescent="0.2">
      <c r="A11" s="2" t="str">
        <f>VLOOKUP(Table1[[#This Row],[Type]],MaturityLevelDescription,3,FALSE)</f>
        <v>Level 1</v>
      </c>
      <c r="B11" s="4" t="s">
        <v>76</v>
      </c>
      <c r="C11" s="3" t="s">
        <v>77</v>
      </c>
      <c r="D11" s="3" t="s">
        <v>73</v>
      </c>
      <c r="E11" s="3" t="s">
        <v>78</v>
      </c>
      <c r="F11" s="23" t="s">
        <v>79</v>
      </c>
      <c r="G11" s="2"/>
      <c r="H11" s="2" t="s">
        <v>39</v>
      </c>
      <c r="I11" s="2"/>
      <c r="J11" s="3" t="s">
        <v>18</v>
      </c>
      <c r="K11" s="2" t="s">
        <v>41</v>
      </c>
      <c r="L11" s="2"/>
      <c r="M11" s="2"/>
    </row>
    <row r="12" spans="1:13" ht="68" x14ac:dyDescent="0.2">
      <c r="A12" s="2" t="str">
        <f>VLOOKUP(Table1[[#This Row],[Type]],MaturityLevelDescription,3,FALSE)</f>
        <v>Level 1</v>
      </c>
      <c r="B12" s="5" t="s">
        <v>80</v>
      </c>
      <c r="C12" s="3" t="s">
        <v>81</v>
      </c>
      <c r="D12" s="3" t="s">
        <v>82</v>
      </c>
      <c r="E12" s="3" t="s">
        <v>83</v>
      </c>
      <c r="F12" s="23" t="s">
        <v>84</v>
      </c>
      <c r="G12" s="2"/>
      <c r="H12" s="2" t="s">
        <v>39</v>
      </c>
      <c r="I12" s="2"/>
      <c r="J12" s="3" t="s">
        <v>10</v>
      </c>
      <c r="K12" s="2" t="s">
        <v>41</v>
      </c>
      <c r="L12" s="2"/>
      <c r="M12" s="2"/>
    </row>
    <row r="13" spans="1:13" ht="51" x14ac:dyDescent="0.2">
      <c r="A13" s="2" t="str">
        <f>VLOOKUP(Table1[[#This Row],[Type]],MaturityLevelDescription,3,FALSE)</f>
        <v>Level 1</v>
      </c>
      <c r="B13" s="5" t="s">
        <v>85</v>
      </c>
      <c r="C13" s="3" t="s">
        <v>86</v>
      </c>
      <c r="D13" s="3" t="s">
        <v>87</v>
      </c>
      <c r="E13" s="3" t="s">
        <v>88</v>
      </c>
      <c r="F13" s="23" t="s">
        <v>89</v>
      </c>
      <c r="G13" s="2"/>
      <c r="H13" s="2" t="s">
        <v>39</v>
      </c>
      <c r="I13" s="2"/>
      <c r="J13" s="3" t="s">
        <v>20</v>
      </c>
      <c r="K13" s="2" t="s">
        <v>41</v>
      </c>
      <c r="L13" s="2"/>
      <c r="M13" s="2"/>
    </row>
    <row r="14" spans="1:13" ht="51" x14ac:dyDescent="0.2">
      <c r="A14" s="2" t="str">
        <f>VLOOKUP(Table1[[#This Row],[Type]],MaturityLevelDescription,3,FALSE)</f>
        <v>Level 1</v>
      </c>
      <c r="B14" s="5" t="s">
        <v>90</v>
      </c>
      <c r="C14" s="34" t="s">
        <v>91</v>
      </c>
      <c r="D14" s="3" t="s">
        <v>82</v>
      </c>
      <c r="E14" s="34" t="s">
        <v>92</v>
      </c>
      <c r="F14" s="23" t="s">
        <v>93</v>
      </c>
      <c r="G14" s="30"/>
      <c r="H14" s="30" t="s">
        <v>39</v>
      </c>
      <c r="I14" s="30"/>
      <c r="J14" s="34" t="s">
        <v>10</v>
      </c>
      <c r="K14" s="30" t="s">
        <v>41</v>
      </c>
      <c r="L14" s="30"/>
      <c r="M14" s="30"/>
    </row>
    <row r="15" spans="1:13" ht="68" x14ac:dyDescent="0.2">
      <c r="A15" s="2" t="str">
        <f>VLOOKUP(Table1[[#This Row],[Type]],MaturityLevelDescription,3,FALSE)</f>
        <v>Level 1</v>
      </c>
      <c r="B15" s="5" t="s">
        <v>94</v>
      </c>
      <c r="C15" s="3" t="s">
        <v>95</v>
      </c>
      <c r="D15" s="35" t="s">
        <v>54</v>
      </c>
      <c r="E15" s="3" t="s">
        <v>96</v>
      </c>
      <c r="F15" s="39" t="s">
        <v>97</v>
      </c>
      <c r="G15" s="2"/>
      <c r="H15" s="2" t="s">
        <v>39</v>
      </c>
      <c r="I15" s="2" t="s">
        <v>40</v>
      </c>
      <c r="J15" s="3" t="s">
        <v>12</v>
      </c>
      <c r="K15" s="2" t="s">
        <v>41</v>
      </c>
      <c r="L15" s="2" t="s">
        <v>98</v>
      </c>
      <c r="M15" s="2" t="s">
        <v>99</v>
      </c>
    </row>
    <row r="16" spans="1:13" ht="68" x14ac:dyDescent="0.2">
      <c r="A16" s="2" t="str">
        <f>VLOOKUP(Table1[[#This Row],[Type]],MaturityLevelDescription,3,FALSE)</f>
        <v>Level 2</v>
      </c>
      <c r="B16" s="5" t="s">
        <v>100</v>
      </c>
      <c r="C16" s="3" t="s">
        <v>101</v>
      </c>
      <c r="D16" s="3" t="s">
        <v>63</v>
      </c>
      <c r="E16" s="3" t="s">
        <v>102</v>
      </c>
      <c r="F16" s="36" t="s">
        <v>103</v>
      </c>
      <c r="G16" s="2"/>
      <c r="H16" s="2" t="s">
        <v>104</v>
      </c>
      <c r="I16" s="2"/>
      <c r="J16" s="3" t="s">
        <v>17</v>
      </c>
      <c r="K16" s="2" t="s">
        <v>41</v>
      </c>
      <c r="L16" s="2"/>
      <c r="M16" s="2"/>
    </row>
    <row r="17" spans="1:13" ht="51" x14ac:dyDescent="0.2">
      <c r="A17" s="2" t="str">
        <f>VLOOKUP(Table1[[#This Row],[Type]],MaturityLevelDescription,3,FALSE)</f>
        <v>Level 2</v>
      </c>
      <c r="B17" s="5" t="s">
        <v>105</v>
      </c>
      <c r="C17" s="34" t="s">
        <v>106</v>
      </c>
      <c r="D17" s="27" t="s">
        <v>107</v>
      </c>
      <c r="E17" s="34" t="s">
        <v>108</v>
      </c>
      <c r="F17" s="23" t="s">
        <v>109</v>
      </c>
      <c r="G17" s="2" t="s">
        <v>110</v>
      </c>
      <c r="H17" s="2" t="s">
        <v>104</v>
      </c>
      <c r="I17" s="2" t="s">
        <v>111</v>
      </c>
      <c r="J17" s="3" t="s">
        <v>19</v>
      </c>
      <c r="K17" s="2" t="s">
        <v>41</v>
      </c>
      <c r="L17" s="2" t="s">
        <v>98</v>
      </c>
      <c r="M17" s="2" t="s">
        <v>112</v>
      </c>
    </row>
    <row r="18" spans="1:13" ht="51" x14ac:dyDescent="0.2">
      <c r="A18" s="2" t="str">
        <f>VLOOKUP(Table1[[#This Row],[Type]],MaturityLevelDescription,3,FALSE)</f>
        <v>Level 2</v>
      </c>
      <c r="B18" s="5" t="s">
        <v>113</v>
      </c>
      <c r="C18" s="27" t="s">
        <v>114</v>
      </c>
      <c r="D18" s="27" t="s">
        <v>107</v>
      </c>
      <c r="E18" s="27" t="s">
        <v>115</v>
      </c>
      <c r="F18" s="23" t="s">
        <v>116</v>
      </c>
      <c r="G18" s="2"/>
      <c r="H18" s="2" t="s">
        <v>104</v>
      </c>
      <c r="I18" s="2" t="s">
        <v>111</v>
      </c>
      <c r="J18" s="3" t="s">
        <v>19</v>
      </c>
      <c r="K18" s="2" t="s">
        <v>41</v>
      </c>
      <c r="L18" s="2"/>
      <c r="M18" s="2"/>
    </row>
    <row r="19" spans="1:13" ht="68" x14ac:dyDescent="0.2">
      <c r="A19" s="2" t="str">
        <f>VLOOKUP(Table1[[#This Row],[Type]],MaturityLevelDescription,3,FALSE)</f>
        <v>Level 2</v>
      </c>
      <c r="B19" s="4" t="s">
        <v>117</v>
      </c>
      <c r="C19" s="34" t="s">
        <v>118</v>
      </c>
      <c r="D19" s="34" t="s">
        <v>119</v>
      </c>
      <c r="E19" s="34" t="s">
        <v>120</v>
      </c>
      <c r="F19" s="23" t="s">
        <v>121</v>
      </c>
      <c r="G19" s="2"/>
      <c r="H19" s="2" t="s">
        <v>104</v>
      </c>
      <c r="I19" s="2" t="s">
        <v>111</v>
      </c>
      <c r="J19" s="3" t="s">
        <v>15</v>
      </c>
      <c r="K19" s="2" t="s">
        <v>41</v>
      </c>
      <c r="L19" s="2"/>
      <c r="M19" s="2"/>
    </row>
    <row r="20" spans="1:13" ht="68" x14ac:dyDescent="0.2">
      <c r="A20" s="2" t="str">
        <f>VLOOKUP(Table1[[#This Row],[Type]],MaturityLevelDescription,3,FALSE)</f>
        <v>Level 2</v>
      </c>
      <c r="B20" s="4" t="s">
        <v>122</v>
      </c>
      <c r="C20" s="34" t="s">
        <v>123</v>
      </c>
      <c r="D20" s="33" t="s">
        <v>49</v>
      </c>
      <c r="E20" s="34" t="s">
        <v>124</v>
      </c>
      <c r="F20" s="34" t="s">
        <v>125</v>
      </c>
      <c r="G20" s="3"/>
      <c r="H20" s="2" t="s">
        <v>104</v>
      </c>
      <c r="I20" s="2" t="s">
        <v>111</v>
      </c>
      <c r="J20" s="3" t="s">
        <v>14</v>
      </c>
      <c r="K20" s="2" t="s">
        <v>41</v>
      </c>
      <c r="L20" s="2"/>
      <c r="M20" s="2"/>
    </row>
    <row r="21" spans="1:13" ht="68" x14ac:dyDescent="0.2">
      <c r="A21" s="2" t="str">
        <f>VLOOKUP(Table1[[#This Row],[Type]],MaturityLevelDescription,3,FALSE)</f>
        <v>Level 2</v>
      </c>
      <c r="B21" s="5" t="s">
        <v>126</v>
      </c>
      <c r="C21" s="34" t="s">
        <v>127</v>
      </c>
      <c r="D21" s="3" t="s">
        <v>68</v>
      </c>
      <c r="E21" s="34" t="s">
        <v>128</v>
      </c>
      <c r="F21" s="23" t="s">
        <v>129</v>
      </c>
      <c r="G21" s="2"/>
      <c r="H21" s="2" t="s">
        <v>104</v>
      </c>
      <c r="I21" s="2"/>
      <c r="J21" s="3" t="s">
        <v>11</v>
      </c>
      <c r="K21" s="2" t="s">
        <v>41</v>
      </c>
      <c r="L21" s="2"/>
      <c r="M21" s="2"/>
    </row>
    <row r="22" spans="1:13" ht="68" x14ac:dyDescent="0.2">
      <c r="A22" s="2" t="str">
        <f>VLOOKUP(Table1[[#This Row],[Type]],MaturityLevelDescription,3,FALSE)</f>
        <v>Level 2</v>
      </c>
      <c r="B22" s="5" t="s">
        <v>130</v>
      </c>
      <c r="C22" s="34" t="s">
        <v>131</v>
      </c>
      <c r="D22" s="3" t="s">
        <v>82</v>
      </c>
      <c r="E22" s="34" t="s">
        <v>132</v>
      </c>
      <c r="F22" s="23" t="s">
        <v>133</v>
      </c>
      <c r="G22" s="2"/>
      <c r="H22" s="2" t="s">
        <v>104</v>
      </c>
      <c r="I22" s="2"/>
      <c r="J22" s="3" t="s">
        <v>10</v>
      </c>
      <c r="K22" s="2" t="s">
        <v>41</v>
      </c>
      <c r="L22" s="2"/>
      <c r="M22" s="2"/>
    </row>
    <row r="23" spans="1:13" ht="51" x14ac:dyDescent="0.2">
      <c r="A23" s="2" t="str">
        <f>VLOOKUP(Table1[[#This Row],[Type]],MaturityLevelDescription,3,FALSE)</f>
        <v>Level 2</v>
      </c>
      <c r="B23" s="5" t="s">
        <v>134</v>
      </c>
      <c r="C23" s="34" t="s">
        <v>135</v>
      </c>
      <c r="D23" s="3" t="s">
        <v>82</v>
      </c>
      <c r="E23" s="34" t="s">
        <v>136</v>
      </c>
      <c r="F23" s="23" t="s">
        <v>137</v>
      </c>
      <c r="G23" s="2"/>
      <c r="H23" s="2" t="s">
        <v>104</v>
      </c>
      <c r="I23" s="2"/>
      <c r="J23" s="3" t="s">
        <v>10</v>
      </c>
      <c r="K23" s="2" t="s">
        <v>41</v>
      </c>
      <c r="L23" s="2"/>
      <c r="M23" s="2"/>
    </row>
    <row r="24" spans="1:13" ht="68" x14ac:dyDescent="0.2">
      <c r="A24" s="2" t="str">
        <f>VLOOKUP(Table1[[#This Row],[Type]],MaturityLevelDescription,3,FALSE)</f>
        <v>Level 2</v>
      </c>
      <c r="B24" s="4" t="s">
        <v>138</v>
      </c>
      <c r="C24" s="34" t="s">
        <v>139</v>
      </c>
      <c r="D24" s="3" t="s">
        <v>44</v>
      </c>
      <c r="E24" s="34" t="s">
        <v>140</v>
      </c>
      <c r="F24" s="23" t="s">
        <v>141</v>
      </c>
      <c r="G24" s="2"/>
      <c r="H24" s="2" t="s">
        <v>104</v>
      </c>
      <c r="I24" s="2"/>
      <c r="J24" s="3" t="s">
        <v>13</v>
      </c>
      <c r="K24" s="2" t="s">
        <v>41</v>
      </c>
      <c r="L24" s="2"/>
      <c r="M24" s="2"/>
    </row>
    <row r="25" spans="1:13" ht="68" x14ac:dyDescent="0.2">
      <c r="A25" s="2" t="str">
        <f>VLOOKUP(Table1[[#This Row],[Type]],MaturityLevelDescription,3,FALSE)</f>
        <v>Level 2</v>
      </c>
      <c r="B25" s="4" t="s">
        <v>142</v>
      </c>
      <c r="C25" s="34" t="s">
        <v>143</v>
      </c>
      <c r="D25" s="3" t="s">
        <v>87</v>
      </c>
      <c r="E25" s="34" t="s">
        <v>144</v>
      </c>
      <c r="F25" s="23" t="s">
        <v>145</v>
      </c>
      <c r="G25" s="2"/>
      <c r="H25" s="2" t="s">
        <v>104</v>
      </c>
      <c r="I25" s="2"/>
      <c r="J25" s="3" t="s">
        <v>20</v>
      </c>
      <c r="K25" s="2" t="s">
        <v>41</v>
      </c>
      <c r="L25" s="2"/>
      <c r="M25" s="2"/>
    </row>
    <row r="26" spans="1:13" ht="68" x14ac:dyDescent="0.2">
      <c r="A26" s="2" t="str">
        <f>VLOOKUP(Table1[[#This Row],[Type]],MaturityLevelDescription,3,FALSE)</f>
        <v>Level 3</v>
      </c>
      <c r="B26" s="5" t="s">
        <v>146</v>
      </c>
      <c r="C26" s="3" t="s">
        <v>147</v>
      </c>
      <c r="D26" s="3" t="s">
        <v>148</v>
      </c>
      <c r="E26" s="3" t="s">
        <v>149</v>
      </c>
      <c r="F26" s="37" t="s">
        <v>150</v>
      </c>
      <c r="G26" s="2"/>
      <c r="H26" s="2" t="s">
        <v>111</v>
      </c>
      <c r="I26" s="2"/>
      <c r="J26" s="3" t="s">
        <v>16</v>
      </c>
      <c r="K26" s="2" t="s">
        <v>41</v>
      </c>
      <c r="L26" s="2"/>
      <c r="M26" s="2"/>
    </row>
    <row r="27" spans="1:13" ht="68" x14ac:dyDescent="0.2">
      <c r="A27" s="2" t="str">
        <f>VLOOKUP(Table1[[#This Row],[Type]],MaturityLevelDescription,3,FALSE)</f>
        <v>Level 3</v>
      </c>
      <c r="B27" s="4" t="s">
        <v>151</v>
      </c>
      <c r="C27" s="3" t="s">
        <v>152</v>
      </c>
      <c r="D27" s="3" t="s">
        <v>68</v>
      </c>
      <c r="E27" s="3" t="s">
        <v>153</v>
      </c>
      <c r="F27" s="37" t="s">
        <v>154</v>
      </c>
      <c r="G27" s="2"/>
      <c r="H27" s="2" t="s">
        <v>111</v>
      </c>
      <c r="I27" s="2"/>
      <c r="J27" s="3" t="s">
        <v>11</v>
      </c>
      <c r="K27" s="2" t="s">
        <v>41</v>
      </c>
      <c r="L27" s="2"/>
      <c r="M27" s="2"/>
    </row>
    <row r="28" spans="1:13" ht="51" x14ac:dyDescent="0.2">
      <c r="A28" s="2" t="str">
        <f>VLOOKUP(Table1[[#This Row],[Type]],MaturityLevelDescription,3,FALSE)</f>
        <v>Level 3</v>
      </c>
      <c r="B28" s="5" t="s">
        <v>155</v>
      </c>
      <c r="C28" s="34" t="s">
        <v>156</v>
      </c>
      <c r="D28" s="3" t="s">
        <v>68</v>
      </c>
      <c r="E28" s="34" t="s">
        <v>157</v>
      </c>
      <c r="F28" s="23" t="s">
        <v>158</v>
      </c>
      <c r="G28" s="2"/>
      <c r="H28" s="2" t="s">
        <v>111</v>
      </c>
      <c r="I28" s="2"/>
      <c r="J28" s="3" t="s">
        <v>11</v>
      </c>
      <c r="K28" s="2" t="s">
        <v>41</v>
      </c>
      <c r="L28" s="2"/>
      <c r="M28" s="2"/>
    </row>
    <row r="29" spans="1:13" ht="51" x14ac:dyDescent="0.2">
      <c r="A29" s="2" t="str">
        <f>VLOOKUP(Table1[[#This Row],[Type]],MaturityLevelDescription,3,FALSE)</f>
        <v>Level 3</v>
      </c>
      <c r="B29" s="5" t="s">
        <v>159</v>
      </c>
      <c r="C29" s="34" t="s">
        <v>160</v>
      </c>
      <c r="D29" s="3" t="s">
        <v>63</v>
      </c>
      <c r="E29" s="34" t="s">
        <v>161</v>
      </c>
      <c r="F29" s="24" t="s">
        <v>162</v>
      </c>
      <c r="G29" s="2"/>
      <c r="H29" s="2" t="s">
        <v>111</v>
      </c>
      <c r="I29" s="2"/>
      <c r="J29" s="3" t="s">
        <v>17</v>
      </c>
      <c r="K29" s="2" t="s">
        <v>41</v>
      </c>
      <c r="L29" s="2"/>
      <c r="M29" s="2"/>
    </row>
    <row r="30" spans="1:13" ht="34" x14ac:dyDescent="0.2">
      <c r="A30" s="2" t="str">
        <f>VLOOKUP(Table1[[#This Row],[Type]],MaturityLevelDescription,3,FALSE)</f>
        <v>Level 1</v>
      </c>
      <c r="B30" s="5" t="s">
        <v>163</v>
      </c>
      <c r="C30" s="34" t="s">
        <v>164</v>
      </c>
      <c r="D30" s="35" t="s">
        <v>54</v>
      </c>
      <c r="E30" s="34"/>
      <c r="F30" s="30"/>
      <c r="G30" s="2"/>
      <c r="H30" s="2" t="s">
        <v>39</v>
      </c>
      <c r="I30" s="2" t="s">
        <v>165</v>
      </c>
      <c r="J30" s="3" t="s">
        <v>12</v>
      </c>
      <c r="K30" s="2"/>
      <c r="L30" s="2"/>
      <c r="M30" s="2"/>
    </row>
    <row r="31" spans="1:13" ht="68" x14ac:dyDescent="0.2">
      <c r="A31" s="2" t="str">
        <f>VLOOKUP(Table1[[#This Row],[Type]],MaturityLevelDescription,3,FALSE)</f>
        <v>Level 3</v>
      </c>
      <c r="B31" s="4" t="s">
        <v>166</v>
      </c>
      <c r="C31" s="27" t="s">
        <v>167</v>
      </c>
      <c r="D31" s="34" t="s">
        <v>119</v>
      </c>
      <c r="E31" s="27" t="s">
        <v>168</v>
      </c>
      <c r="F31" s="23" t="s">
        <v>169</v>
      </c>
      <c r="G31" s="2"/>
      <c r="H31" s="2" t="s">
        <v>111</v>
      </c>
      <c r="I31" s="2"/>
      <c r="J31" s="3" t="s">
        <v>15</v>
      </c>
      <c r="K31" s="2" t="s">
        <v>41</v>
      </c>
      <c r="L31" s="2"/>
      <c r="M31" s="2"/>
    </row>
    <row r="32" spans="1:13" ht="34" x14ac:dyDescent="0.2">
      <c r="A32" s="2" t="str">
        <f>VLOOKUP(Table1[[#This Row],[Type]],MaturityLevelDescription,3,FALSE)</f>
        <v>Level 2</v>
      </c>
      <c r="B32" s="5" t="s">
        <v>170</v>
      </c>
      <c r="C32" s="34" t="s">
        <v>171</v>
      </c>
      <c r="D32" s="27" t="s">
        <v>54</v>
      </c>
      <c r="E32" s="34"/>
      <c r="F32" s="30"/>
      <c r="G32" s="2"/>
      <c r="H32" s="2" t="s">
        <v>104</v>
      </c>
      <c r="I32" s="2" t="s">
        <v>165</v>
      </c>
      <c r="J32" s="3" t="s">
        <v>12</v>
      </c>
      <c r="K32" s="2"/>
      <c r="L32" s="2"/>
      <c r="M32" s="2"/>
    </row>
    <row r="33" spans="1:13" ht="68" x14ac:dyDescent="0.2">
      <c r="A33" s="2" t="str">
        <f>VLOOKUP(Table1[[#This Row],[Type]],MaturityLevelDescription,3,FALSE)</f>
        <v>Level 3</v>
      </c>
      <c r="B33" s="5" t="s">
        <v>172</v>
      </c>
      <c r="C33" s="28" t="s">
        <v>173</v>
      </c>
      <c r="D33" s="33" t="s">
        <v>49</v>
      </c>
      <c r="E33" s="28" t="s">
        <v>174</v>
      </c>
      <c r="F33" s="23" t="s">
        <v>175</v>
      </c>
      <c r="G33" s="2"/>
      <c r="H33" s="2" t="s">
        <v>111</v>
      </c>
      <c r="I33" s="2" t="s">
        <v>176</v>
      </c>
      <c r="J33" s="3" t="s">
        <v>14</v>
      </c>
      <c r="K33" s="2" t="s">
        <v>41</v>
      </c>
      <c r="L33" s="2"/>
      <c r="M33" s="2"/>
    </row>
    <row r="34" spans="1:13" ht="68" x14ac:dyDescent="0.2">
      <c r="A34" s="2" t="str">
        <f>VLOOKUP(Table1[[#This Row],[Type]],MaturityLevelDescription,3,FALSE)</f>
        <v>Level 3</v>
      </c>
      <c r="B34" s="4" t="s">
        <v>177</v>
      </c>
      <c r="C34" s="28" t="s">
        <v>178</v>
      </c>
      <c r="D34" s="27" t="s">
        <v>54</v>
      </c>
      <c r="E34" s="28" t="s">
        <v>179</v>
      </c>
      <c r="F34" s="23" t="s">
        <v>180</v>
      </c>
      <c r="G34" s="2"/>
      <c r="H34" s="2" t="s">
        <v>111</v>
      </c>
      <c r="I34" s="2" t="s">
        <v>165</v>
      </c>
      <c r="J34" s="3" t="s">
        <v>12</v>
      </c>
      <c r="K34" s="2" t="s">
        <v>181</v>
      </c>
      <c r="L34" s="2"/>
      <c r="M34" s="2"/>
    </row>
    <row r="35" spans="1:13" ht="51" x14ac:dyDescent="0.2">
      <c r="A35" s="25" t="s">
        <v>5</v>
      </c>
      <c r="B35" s="26" t="s">
        <v>182</v>
      </c>
      <c r="C35" s="24" t="s">
        <v>183</v>
      </c>
      <c r="D35" s="3" t="s">
        <v>148</v>
      </c>
      <c r="E35" s="24" t="s">
        <v>184</v>
      </c>
      <c r="F35" s="24" t="s">
        <v>185</v>
      </c>
      <c r="G35" s="29" t="s">
        <v>186</v>
      </c>
      <c r="H35" s="29" t="s">
        <v>111</v>
      </c>
      <c r="I35" s="29" t="s">
        <v>187</v>
      </c>
      <c r="J35" s="36" t="s">
        <v>16</v>
      </c>
      <c r="K35" s="29" t="s">
        <v>41</v>
      </c>
      <c r="L35" s="29" t="s">
        <v>98</v>
      </c>
      <c r="M35" s="29" t="s">
        <v>188</v>
      </c>
    </row>
    <row r="36" spans="1:13" ht="85" x14ac:dyDescent="0.2">
      <c r="A36" s="2" t="str">
        <f>VLOOKUP(Table1[[#This Row],[Type]],MaturityLevelDescription,3,FALSE)</f>
        <v>Level 3</v>
      </c>
      <c r="B36" s="5" t="s">
        <v>189</v>
      </c>
      <c r="C36" s="34" t="s">
        <v>190</v>
      </c>
      <c r="D36" s="3" t="s">
        <v>44</v>
      </c>
      <c r="E36" s="34" t="s">
        <v>191</v>
      </c>
      <c r="F36" s="23" t="s">
        <v>192</v>
      </c>
      <c r="G36" s="2"/>
      <c r="H36" s="2" t="s">
        <v>111</v>
      </c>
      <c r="I36" s="2"/>
      <c r="J36" s="3" t="s">
        <v>13</v>
      </c>
      <c r="K36" s="2" t="s">
        <v>41</v>
      </c>
      <c r="L36" s="2"/>
      <c r="M36" s="2"/>
    </row>
    <row r="37" spans="1:13" ht="85" x14ac:dyDescent="0.2">
      <c r="A37" s="2" t="str">
        <f>VLOOKUP(Table1[[#This Row],[Type]],MaturityLevelDescription,3,FALSE)</f>
        <v>Level 3</v>
      </c>
      <c r="B37" s="5" t="s">
        <v>193</v>
      </c>
      <c r="C37" s="34" t="s">
        <v>194</v>
      </c>
      <c r="D37" s="3" t="s">
        <v>63</v>
      </c>
      <c r="E37" s="34" t="s">
        <v>195</v>
      </c>
      <c r="F37" s="23" t="s">
        <v>196</v>
      </c>
      <c r="G37" s="2"/>
      <c r="H37" s="2" t="s">
        <v>111</v>
      </c>
      <c r="I37" s="2"/>
      <c r="J37" s="3" t="s">
        <v>17</v>
      </c>
      <c r="K37" s="2" t="s">
        <v>41</v>
      </c>
      <c r="L37" s="2"/>
      <c r="M37" s="2"/>
    </row>
    <row r="38" spans="1:13" ht="136" x14ac:dyDescent="0.2">
      <c r="A38" s="2" t="str">
        <f>VLOOKUP(Table1[[#This Row],[Type]],MaturityLevelDescription,3,FALSE)</f>
        <v>Level 3</v>
      </c>
      <c r="B38" s="5" t="s">
        <v>197</v>
      </c>
      <c r="C38" s="34" t="s">
        <v>198</v>
      </c>
      <c r="D38" s="3" t="s">
        <v>68</v>
      </c>
      <c r="E38" s="34" t="s">
        <v>199</v>
      </c>
      <c r="F38" s="23" t="s">
        <v>200</v>
      </c>
      <c r="G38" s="40" t="s">
        <v>201</v>
      </c>
      <c r="H38" s="30" t="s">
        <v>111</v>
      </c>
      <c r="I38" s="30"/>
      <c r="J38" s="34" t="s">
        <v>11</v>
      </c>
      <c r="K38" s="30" t="s">
        <v>41</v>
      </c>
      <c r="L38" s="30" t="s">
        <v>98</v>
      </c>
      <c r="M38" s="30" t="s">
        <v>202</v>
      </c>
    </row>
    <row r="39" spans="1:13" ht="85" x14ac:dyDescent="0.2">
      <c r="A39" s="2" t="str">
        <f>VLOOKUP(Table1[[#This Row],[Type]],MaturityLevelDescription,3,FALSE)</f>
        <v>Level 3</v>
      </c>
      <c r="B39" s="4" t="s">
        <v>203</v>
      </c>
      <c r="C39" s="3" t="s">
        <v>204</v>
      </c>
      <c r="D39" s="3" t="s">
        <v>73</v>
      </c>
      <c r="E39" s="3" t="s">
        <v>205</v>
      </c>
      <c r="F39" s="23" t="s">
        <v>206</v>
      </c>
      <c r="G39" s="2"/>
      <c r="H39" s="2" t="s">
        <v>111</v>
      </c>
      <c r="I39" s="2"/>
      <c r="J39" s="3" t="s">
        <v>18</v>
      </c>
      <c r="K39" s="2" t="s">
        <v>41</v>
      </c>
      <c r="L39" s="2"/>
      <c r="M39" s="2"/>
    </row>
    <row r="40" spans="1:13" ht="68" x14ac:dyDescent="0.2">
      <c r="A40" s="2" t="str">
        <f>VLOOKUP(Table1[[#This Row],[Type]],MaturityLevelDescription,3,FALSE)</f>
        <v>Level 3</v>
      </c>
      <c r="B40" s="5" t="s">
        <v>207</v>
      </c>
      <c r="C40" s="3" t="s">
        <v>208</v>
      </c>
      <c r="D40" s="3" t="s">
        <v>68</v>
      </c>
      <c r="E40" s="34" t="s">
        <v>209</v>
      </c>
      <c r="F40" s="34" t="s">
        <v>210</v>
      </c>
      <c r="G40" s="3"/>
      <c r="H40" s="3" t="s">
        <v>111</v>
      </c>
      <c r="I40" s="3" t="s">
        <v>211</v>
      </c>
      <c r="J40" s="3" t="s">
        <v>11</v>
      </c>
      <c r="K40" s="2" t="s">
        <v>41</v>
      </c>
      <c r="L40" s="2" t="s">
        <v>98</v>
      </c>
      <c r="M40" s="2" t="s">
        <v>202</v>
      </c>
    </row>
    <row r="41" spans="1:13" ht="68" x14ac:dyDescent="0.2">
      <c r="A41" s="2" t="str">
        <f>VLOOKUP(Table1[[#This Row],[Type]],MaturityLevelDescription,3,FALSE)</f>
        <v>Level 3</v>
      </c>
      <c r="B41" s="5" t="s">
        <v>212</v>
      </c>
      <c r="C41" s="3" t="s">
        <v>213</v>
      </c>
      <c r="D41" s="3" t="s">
        <v>148</v>
      </c>
      <c r="E41" s="3" t="s">
        <v>214</v>
      </c>
      <c r="F41" s="23" t="s">
        <v>215</v>
      </c>
      <c r="G41" s="2"/>
      <c r="H41" s="2" t="s">
        <v>111</v>
      </c>
      <c r="I41" s="2"/>
      <c r="J41" s="3" t="s">
        <v>16</v>
      </c>
      <c r="K41" s="2" t="s">
        <v>41</v>
      </c>
      <c r="L41" s="2"/>
      <c r="M41" s="2"/>
    </row>
    <row r="42" spans="1:13" ht="68" x14ac:dyDescent="0.2">
      <c r="A42" s="29" t="s">
        <v>5</v>
      </c>
      <c r="B42" s="31" t="s">
        <v>216</v>
      </c>
      <c r="C42" s="36" t="s">
        <v>217</v>
      </c>
      <c r="D42" s="34" t="s">
        <v>119</v>
      </c>
      <c r="E42" s="36" t="s">
        <v>218</v>
      </c>
      <c r="F42" s="24" t="s">
        <v>219</v>
      </c>
      <c r="G42" s="29" t="s">
        <v>186</v>
      </c>
      <c r="H42" s="29" t="s">
        <v>111</v>
      </c>
      <c r="I42" s="29" t="s">
        <v>111</v>
      </c>
      <c r="J42" s="36" t="s">
        <v>15</v>
      </c>
      <c r="K42" s="29" t="s">
        <v>41</v>
      </c>
      <c r="L42" s="29" t="s">
        <v>98</v>
      </c>
      <c r="M42" s="29" t="s">
        <v>112</v>
      </c>
    </row>
    <row r="43" spans="1:13" ht="68" x14ac:dyDescent="0.2">
      <c r="A43" s="2" t="str">
        <f>VLOOKUP(Table1[[#This Row],[Type]],MaturityLevelDescription,3,FALSE)</f>
        <v>Level 3</v>
      </c>
      <c r="B43" s="4" t="s">
        <v>220</v>
      </c>
      <c r="C43" s="3" t="s">
        <v>221</v>
      </c>
      <c r="D43" s="3" t="s">
        <v>87</v>
      </c>
      <c r="E43" s="3" t="s">
        <v>222</v>
      </c>
      <c r="F43" s="23" t="s">
        <v>223</v>
      </c>
      <c r="G43" s="2"/>
      <c r="H43" s="2" t="s">
        <v>111</v>
      </c>
      <c r="I43" s="2" t="s">
        <v>211</v>
      </c>
      <c r="J43" s="3" t="s">
        <v>20</v>
      </c>
      <c r="K43" s="2" t="s">
        <v>41</v>
      </c>
      <c r="L43" s="2"/>
      <c r="M43" s="2"/>
    </row>
    <row r="44" spans="1:13" ht="68" x14ac:dyDescent="0.2">
      <c r="A44" s="2" t="str">
        <f>VLOOKUP(Table1[[#This Row],[Type]],MaturityLevelDescription,3,FALSE)</f>
        <v>Level 3</v>
      </c>
      <c r="B44" s="5" t="s">
        <v>224</v>
      </c>
      <c r="C44" s="3" t="s">
        <v>225</v>
      </c>
      <c r="D44" s="3" t="s">
        <v>82</v>
      </c>
      <c r="E44" s="3" t="s">
        <v>226</v>
      </c>
      <c r="F44" s="23" t="s">
        <v>227</v>
      </c>
      <c r="G44" s="2"/>
      <c r="H44" s="2" t="s">
        <v>111</v>
      </c>
      <c r="I44" s="2"/>
      <c r="J44" s="3" t="s">
        <v>10</v>
      </c>
      <c r="K44" s="2" t="s">
        <v>41</v>
      </c>
      <c r="L44" s="2"/>
      <c r="M44" s="2"/>
    </row>
    <row r="45" spans="1:13" ht="68" x14ac:dyDescent="0.2">
      <c r="A45" s="2" t="str">
        <f>VLOOKUP(Table1[[#This Row],[Type]],MaturityLevelDescription,3,FALSE)</f>
        <v>Level 3</v>
      </c>
      <c r="B45" s="5" t="s">
        <v>228</v>
      </c>
      <c r="C45" s="3" t="s">
        <v>229</v>
      </c>
      <c r="D45" s="33" t="s">
        <v>49</v>
      </c>
      <c r="E45" s="3" t="s">
        <v>230</v>
      </c>
      <c r="F45" s="37" t="s">
        <v>231</v>
      </c>
      <c r="G45" s="2"/>
      <c r="H45" s="2" t="s">
        <v>111</v>
      </c>
      <c r="I45" s="2"/>
      <c r="J45" s="3" t="s">
        <v>14</v>
      </c>
      <c r="K45" s="2" t="s">
        <v>41</v>
      </c>
      <c r="L45" s="2"/>
      <c r="M45" s="2"/>
    </row>
    <row r="46" spans="1:13" ht="51" x14ac:dyDescent="0.2">
      <c r="A46" s="2" t="str">
        <f>VLOOKUP(Table1[[#This Row],[Type]],MaturityLevelDescription,3,FALSE)</f>
        <v>Level 3</v>
      </c>
      <c r="B46" s="4" t="s">
        <v>232</v>
      </c>
      <c r="C46" s="3" t="s">
        <v>233</v>
      </c>
      <c r="D46" s="3" t="s">
        <v>87</v>
      </c>
      <c r="E46" s="3" t="s">
        <v>234</v>
      </c>
      <c r="F46" s="23" t="s">
        <v>235</v>
      </c>
      <c r="G46" s="2"/>
      <c r="H46" s="2" t="s">
        <v>111</v>
      </c>
      <c r="I46" s="2" t="s">
        <v>211</v>
      </c>
      <c r="J46" s="3" t="s">
        <v>20</v>
      </c>
      <c r="K46" s="2" t="s">
        <v>41</v>
      </c>
      <c r="L46" s="2"/>
      <c r="M46" s="2"/>
    </row>
    <row r="47" spans="1:13" ht="68" x14ac:dyDescent="0.2">
      <c r="A47" s="2" t="str">
        <f>VLOOKUP(Table1[[#This Row],[Type]],MaturityLevelDescription,3,FALSE)</f>
        <v>Level 4</v>
      </c>
      <c r="B47" s="4" t="str">
        <f>Table1[[#This Row],[Data Management Capability]]&amp;" "&amp;"Capability Assessment"</f>
        <v>Business Intelligence &amp; Data Science Capability Assessment</v>
      </c>
      <c r="C47" s="3" t="s">
        <v>236</v>
      </c>
      <c r="D47" s="3" t="s">
        <v>82</v>
      </c>
      <c r="E47" s="3" t="s">
        <v>237</v>
      </c>
      <c r="F47" s="23" t="s">
        <v>238</v>
      </c>
      <c r="G47" s="2"/>
      <c r="H47" s="2" t="s">
        <v>239</v>
      </c>
      <c r="I47" s="2"/>
      <c r="J47" s="3" t="s">
        <v>10</v>
      </c>
      <c r="K47" s="2" t="s">
        <v>41</v>
      </c>
      <c r="L47" s="2"/>
      <c r="M47" s="2"/>
    </row>
    <row r="48" spans="1:13" ht="68" x14ac:dyDescent="0.2">
      <c r="A48" s="2" t="str">
        <f>VLOOKUP(Table1[[#This Row],[Type]],MaturityLevelDescription,3,FALSE)</f>
        <v>Level 4</v>
      </c>
      <c r="B48" s="4" t="str">
        <f>Table1[[#This Row],[Data Management Capability]]&amp;" "&amp;"Capability Assessment"</f>
        <v>Data Architecture, Modeling &amp; Design Capability Assessment</v>
      </c>
      <c r="C48" s="3" t="s">
        <v>240</v>
      </c>
      <c r="D48" s="3" t="s">
        <v>68</v>
      </c>
      <c r="E48" s="3" t="s">
        <v>241</v>
      </c>
      <c r="F48" s="23" t="s">
        <v>242</v>
      </c>
      <c r="G48" s="2"/>
      <c r="H48" s="2" t="s">
        <v>239</v>
      </c>
      <c r="I48" s="2"/>
      <c r="J48" s="3" t="s">
        <v>11</v>
      </c>
      <c r="K48" s="2" t="s">
        <v>41</v>
      </c>
      <c r="L48" s="2"/>
      <c r="M48" s="2"/>
    </row>
    <row r="49" spans="1:13" ht="68" x14ac:dyDescent="0.2">
      <c r="A49" s="2" t="str">
        <f>VLOOKUP(Table1[[#This Row],[Type]],MaturityLevelDescription,3,FALSE)</f>
        <v>Level 3</v>
      </c>
      <c r="B49" s="5" t="s">
        <v>243</v>
      </c>
      <c r="C49" s="3" t="s">
        <v>244</v>
      </c>
      <c r="D49" s="3"/>
      <c r="E49" s="3" t="s">
        <v>245</v>
      </c>
      <c r="F49" s="38" t="s">
        <v>246</v>
      </c>
      <c r="G49" s="2"/>
      <c r="H49" s="2" t="s">
        <v>111</v>
      </c>
      <c r="I49" s="2"/>
      <c r="J49" s="3" t="s">
        <v>12</v>
      </c>
      <c r="K49" s="2" t="s">
        <v>41</v>
      </c>
      <c r="L49" s="2"/>
      <c r="M49" s="2"/>
    </row>
    <row r="50" spans="1:13" ht="68" x14ac:dyDescent="0.2">
      <c r="A50" s="2" t="str">
        <f>VLOOKUP(Table1[[#This Row],[Type]],MaturityLevelDescription,3,FALSE)</f>
        <v>Level 3</v>
      </c>
      <c r="B50" s="5" t="s">
        <v>247</v>
      </c>
      <c r="C50" s="35" t="s">
        <v>248</v>
      </c>
      <c r="D50" s="35"/>
      <c r="E50" s="35" t="s">
        <v>249</v>
      </c>
      <c r="F50" s="24" t="s">
        <v>250</v>
      </c>
      <c r="G50" s="2"/>
      <c r="H50" s="2" t="s">
        <v>111</v>
      </c>
      <c r="I50" s="2"/>
      <c r="J50" s="3" t="s">
        <v>12</v>
      </c>
      <c r="K50" s="2" t="s">
        <v>41</v>
      </c>
      <c r="L50" s="2"/>
      <c r="M50" s="2"/>
    </row>
    <row r="51" spans="1:13" ht="85" x14ac:dyDescent="0.2">
      <c r="A51" s="2" t="str">
        <f>VLOOKUP(Table1[[#This Row],[Type]],MaturityLevelDescription,3,FALSE)</f>
        <v>Level 4</v>
      </c>
      <c r="B51" s="4" t="str">
        <f>Table1[[#This Row],[Data Management Capability]]&amp;" "&amp;"Capability Assessment"</f>
        <v>Data Integration &amp; Interoperability Capability Assessment</v>
      </c>
      <c r="C51" s="33" t="s">
        <v>251</v>
      </c>
      <c r="D51" s="3" t="s">
        <v>44</v>
      </c>
      <c r="E51" s="3" t="s">
        <v>252</v>
      </c>
      <c r="F51" s="23" t="s">
        <v>253</v>
      </c>
      <c r="G51" s="2"/>
      <c r="H51" s="2" t="s">
        <v>239</v>
      </c>
      <c r="I51" s="2"/>
      <c r="J51" s="3" t="s">
        <v>13</v>
      </c>
      <c r="K51" s="2" t="s">
        <v>41</v>
      </c>
      <c r="L51" s="2"/>
      <c r="M51" s="2"/>
    </row>
    <row r="52" spans="1:13" ht="34" x14ac:dyDescent="0.2">
      <c r="A52" s="2" t="str">
        <f>VLOOKUP(Table1[[#This Row],[Type]],MaturityLevelDescription,3,FALSE)</f>
        <v>Level 3</v>
      </c>
      <c r="B52" s="5" t="s">
        <v>254</v>
      </c>
      <c r="C52" s="35" t="s">
        <v>255</v>
      </c>
      <c r="D52" s="35" t="s">
        <v>54</v>
      </c>
      <c r="E52" s="3"/>
      <c r="F52" s="30"/>
      <c r="G52" s="2"/>
      <c r="H52" s="2" t="s">
        <v>111</v>
      </c>
      <c r="I52" s="2" t="s">
        <v>256</v>
      </c>
      <c r="J52" s="3" t="s">
        <v>12</v>
      </c>
      <c r="K52" s="2"/>
      <c r="L52" s="2"/>
      <c r="M52" s="2"/>
    </row>
    <row r="53" spans="1:13" ht="85" x14ac:dyDescent="0.2">
      <c r="A53" s="2" t="str">
        <f>VLOOKUP(Table1[[#This Row],[Type]],MaturityLevelDescription,3,FALSE)</f>
        <v>Level 4</v>
      </c>
      <c r="B53" s="4" t="s">
        <v>257</v>
      </c>
      <c r="C53" s="35" t="s">
        <v>258</v>
      </c>
      <c r="D53" s="33" t="s">
        <v>49</v>
      </c>
      <c r="E53" s="3" t="s">
        <v>259</v>
      </c>
      <c r="F53" s="23" t="s">
        <v>260</v>
      </c>
      <c r="G53" s="2"/>
      <c r="H53" s="2" t="s">
        <v>239</v>
      </c>
      <c r="I53" s="2"/>
      <c r="J53" s="3" t="s">
        <v>14</v>
      </c>
      <c r="K53" s="2" t="s">
        <v>41</v>
      </c>
      <c r="L53" s="2"/>
      <c r="M53" s="2"/>
    </row>
    <row r="54" spans="1:13" ht="68" x14ac:dyDescent="0.2">
      <c r="A54" s="2" t="str">
        <f>VLOOKUP(Table1[[#This Row],[Type]],MaturityLevelDescription,3,FALSE)</f>
        <v>Level 4</v>
      </c>
      <c r="B54" s="4" t="str">
        <f>Table1[[#This Row],[Data Management Capability]]&amp;" "&amp;"Capability Assessment"</f>
        <v>Data Quality Capability Assessment</v>
      </c>
      <c r="C54" s="33" t="s">
        <v>261</v>
      </c>
      <c r="D54" s="33" t="s">
        <v>49</v>
      </c>
      <c r="E54" s="3" t="s">
        <v>262</v>
      </c>
      <c r="F54" s="23" t="s">
        <v>263</v>
      </c>
      <c r="G54" s="2"/>
      <c r="H54" s="2" t="s">
        <v>239</v>
      </c>
      <c r="I54" s="2"/>
      <c r="J54" s="3" t="s">
        <v>14</v>
      </c>
      <c r="K54" s="2" t="s">
        <v>41</v>
      </c>
      <c r="L54" s="2"/>
      <c r="M54" s="2"/>
    </row>
    <row r="55" spans="1:13" ht="68" x14ac:dyDescent="0.2">
      <c r="A55" s="2" t="str">
        <f>VLOOKUP(Table1[[#This Row],[Type]],MaturityLevelDescription,3,FALSE)</f>
        <v>Level 4</v>
      </c>
      <c r="B55" s="4" t="str">
        <f>Table1[[#This Row],[Data Management Capability]]&amp;" "&amp;"Capability Assessment"</f>
        <v>Data Security &amp; Privacy Capability Assessment</v>
      </c>
      <c r="C55" s="3" t="s">
        <v>264</v>
      </c>
      <c r="D55" s="34" t="s">
        <v>119</v>
      </c>
      <c r="E55" s="3" t="s">
        <v>265</v>
      </c>
      <c r="F55" s="23" t="s">
        <v>266</v>
      </c>
      <c r="G55" s="2"/>
      <c r="H55" s="2" t="s">
        <v>239</v>
      </c>
      <c r="I55" s="2"/>
      <c r="J55" s="3" t="s">
        <v>15</v>
      </c>
      <c r="K55" s="2" t="s">
        <v>41</v>
      </c>
      <c r="L55" s="2"/>
      <c r="M55" s="2"/>
    </row>
    <row r="56" spans="1:13" ht="68" x14ac:dyDescent="0.2">
      <c r="A56" s="2" t="str">
        <f>VLOOKUP(Table1[[#This Row],[Type]],MaturityLevelDescription,3,FALSE)</f>
        <v>Level 4</v>
      </c>
      <c r="B56" s="4" t="str">
        <f>Table1[[#This Row],[Data Management Capability]]&amp;" "&amp;"Capability Assessment"</f>
        <v>Data Storage &amp; Warehousing Capability Assessment</v>
      </c>
      <c r="C56" s="3" t="s">
        <v>267</v>
      </c>
      <c r="D56" s="3" t="s">
        <v>148</v>
      </c>
      <c r="E56" s="3" t="s">
        <v>268</v>
      </c>
      <c r="F56" s="23" t="s">
        <v>269</v>
      </c>
      <c r="G56" s="2"/>
      <c r="H56" s="2" t="s">
        <v>239</v>
      </c>
      <c r="I56" s="2"/>
      <c r="J56" s="3" t="s">
        <v>16</v>
      </c>
      <c r="K56" s="2" t="s">
        <v>41</v>
      </c>
      <c r="L56" s="2"/>
      <c r="M56" s="2"/>
    </row>
    <row r="57" spans="1:13" ht="85" x14ac:dyDescent="0.2">
      <c r="A57" s="2" t="str">
        <f>VLOOKUP(Table1[[#This Row],[Type]],MaturityLevelDescription,3,FALSE)</f>
        <v>Level 4</v>
      </c>
      <c r="B57" s="4" t="str">
        <f>Table1[[#This Row],[Data Management Capability]]&amp;" "&amp;"Capability Assessment"</f>
        <v>Document &amp; Content Capability Assessment</v>
      </c>
      <c r="C57" s="3" t="s">
        <v>270</v>
      </c>
      <c r="D57" s="3" t="s">
        <v>63</v>
      </c>
      <c r="E57" s="3" t="s">
        <v>271</v>
      </c>
      <c r="F57" s="23" t="s">
        <v>272</v>
      </c>
      <c r="G57" s="2"/>
      <c r="H57" s="2" t="s">
        <v>239</v>
      </c>
      <c r="I57" s="2"/>
      <c r="J57" s="3" t="s">
        <v>17</v>
      </c>
      <c r="K57" s="2" t="s">
        <v>41</v>
      </c>
      <c r="L57" s="2"/>
      <c r="M57" s="2"/>
    </row>
    <row r="58" spans="1:13" ht="68" x14ac:dyDescent="0.2">
      <c r="A58" s="2" t="str">
        <f>VLOOKUP(Table1[[#This Row],[Type]],MaturityLevelDescription,3,FALSE)</f>
        <v>Level 4</v>
      </c>
      <c r="B58" s="4" t="str">
        <f>Table1[[#This Row],[Data Management Capability]]&amp;" "&amp;"Capability Assessment"</f>
        <v>Master Data Management Capability Assessment</v>
      </c>
      <c r="C58" s="3" t="s">
        <v>273</v>
      </c>
      <c r="D58" s="3" t="s">
        <v>73</v>
      </c>
      <c r="E58" s="3" t="s">
        <v>274</v>
      </c>
      <c r="F58" s="23" t="s">
        <v>275</v>
      </c>
      <c r="G58" s="2"/>
      <c r="H58" s="2" t="s">
        <v>239</v>
      </c>
      <c r="I58" s="2"/>
      <c r="J58" s="3" t="s">
        <v>18</v>
      </c>
      <c r="K58" s="2" t="s">
        <v>41</v>
      </c>
      <c r="L58" s="2"/>
      <c r="M58" s="2"/>
    </row>
    <row r="59" spans="1:13" ht="68" x14ac:dyDescent="0.2">
      <c r="A59" s="2" t="str">
        <f>VLOOKUP(Table1[[#This Row],[Type]],MaturityLevelDescription,3,FALSE)</f>
        <v>Level 4</v>
      </c>
      <c r="B59" s="4" t="str">
        <f>Table1[[#This Row],[Data Management Capability]]&amp;" "&amp;"Capability Assessment"</f>
        <v>Metadata Management Capability Assessment</v>
      </c>
      <c r="C59" s="3" t="s">
        <v>276</v>
      </c>
      <c r="D59" s="27" t="s">
        <v>107</v>
      </c>
      <c r="E59" s="3" t="s">
        <v>277</v>
      </c>
      <c r="F59" s="23" t="s">
        <v>278</v>
      </c>
      <c r="G59" s="2"/>
      <c r="H59" s="2" t="s">
        <v>239</v>
      </c>
      <c r="I59" s="2"/>
      <c r="J59" s="3" t="s">
        <v>19</v>
      </c>
      <c r="K59" s="2" t="s">
        <v>41</v>
      </c>
      <c r="L59" s="2"/>
      <c r="M59" s="2"/>
    </row>
    <row r="60" spans="1:13" ht="68" x14ac:dyDescent="0.2">
      <c r="A60" s="2" t="str">
        <f>VLOOKUP(Table1[[#This Row],[Type]],MaturityLevelDescription,3,FALSE)</f>
        <v>Level 4</v>
      </c>
      <c r="B60" s="4" t="str">
        <f>Table1[[#This Row],[Data Management Capability]]&amp;" "&amp;"Capability Assessment"</f>
        <v>Reference Data Management Capability Assessment</v>
      </c>
      <c r="C60" s="3" t="s">
        <v>279</v>
      </c>
      <c r="D60" s="3" t="s">
        <v>87</v>
      </c>
      <c r="E60" s="3" t="s">
        <v>280</v>
      </c>
      <c r="F60" s="23" t="s">
        <v>281</v>
      </c>
      <c r="G60" s="2"/>
      <c r="H60" s="2" t="s">
        <v>239</v>
      </c>
      <c r="I60" s="2"/>
      <c r="J60" s="3" t="s">
        <v>20</v>
      </c>
      <c r="K60" s="2" t="s">
        <v>41</v>
      </c>
      <c r="L60" s="2"/>
      <c r="M60" s="2"/>
    </row>
    <row r="61" spans="1:13" ht="102" x14ac:dyDescent="0.2">
      <c r="A61" s="2" t="str">
        <f>VLOOKUP(Table1[[#This Row],[Type]],MaturityLevelDescription,3,FALSE)</f>
        <v>Level 5</v>
      </c>
      <c r="B61" s="5" t="s">
        <v>282</v>
      </c>
      <c r="C61" s="3" t="s">
        <v>283</v>
      </c>
      <c r="D61" s="3" t="s">
        <v>82</v>
      </c>
      <c r="E61" s="3" t="s">
        <v>284</v>
      </c>
      <c r="F61" s="24" t="s">
        <v>285</v>
      </c>
      <c r="G61" s="2"/>
      <c r="H61" s="2" t="s">
        <v>286</v>
      </c>
      <c r="I61" s="2"/>
      <c r="J61" s="3" t="s">
        <v>10</v>
      </c>
      <c r="K61" s="2" t="s">
        <v>41</v>
      </c>
      <c r="L61" s="2"/>
      <c r="M61" s="2"/>
    </row>
    <row r="62" spans="1:13" ht="102" x14ac:dyDescent="0.2">
      <c r="A62" s="2" t="str">
        <f>VLOOKUP(Table1[[#This Row],[Type]],MaturityLevelDescription,3,FALSE)</f>
        <v>Level 5</v>
      </c>
      <c r="B62" s="5" t="s">
        <v>287</v>
      </c>
      <c r="C62" s="3" t="s">
        <v>288</v>
      </c>
      <c r="D62" s="3" t="s">
        <v>68</v>
      </c>
      <c r="E62" s="3" t="s">
        <v>289</v>
      </c>
      <c r="F62" s="36" t="s">
        <v>290</v>
      </c>
      <c r="G62" s="2"/>
      <c r="H62" s="2" t="s">
        <v>286</v>
      </c>
      <c r="I62" s="2"/>
      <c r="J62" s="3" t="s">
        <v>11</v>
      </c>
      <c r="K62" s="2" t="s">
        <v>41</v>
      </c>
      <c r="L62" s="2"/>
      <c r="M62" s="2"/>
    </row>
    <row r="63" spans="1:13" ht="34" x14ac:dyDescent="0.2">
      <c r="A63" s="25" t="s">
        <v>6</v>
      </c>
      <c r="B63" s="26" t="s">
        <v>291</v>
      </c>
      <c r="C63" s="36" t="s">
        <v>292</v>
      </c>
      <c r="D63" s="36"/>
      <c r="E63" s="36" t="s">
        <v>186</v>
      </c>
      <c r="F63" s="24" t="s">
        <v>293</v>
      </c>
      <c r="G63" s="29" t="s">
        <v>18</v>
      </c>
      <c r="H63" s="29" t="s">
        <v>239</v>
      </c>
      <c r="I63" s="29" t="s">
        <v>186</v>
      </c>
      <c r="J63" s="36" t="s">
        <v>12</v>
      </c>
      <c r="K63" s="29" t="s">
        <v>186</v>
      </c>
      <c r="L63" s="29" t="s">
        <v>98</v>
      </c>
      <c r="M63" s="29" t="s">
        <v>188</v>
      </c>
    </row>
    <row r="64" spans="1:13" ht="119" x14ac:dyDescent="0.2">
      <c r="A64" s="30" t="str">
        <f>VLOOKUP(Table1[[#This Row],[Type]],MaturityLevelDescription,3,FALSE)</f>
        <v>Level 5</v>
      </c>
      <c r="B64" s="32" t="s">
        <v>294</v>
      </c>
      <c r="C64" s="27" t="s">
        <v>295</v>
      </c>
      <c r="D64" s="3" t="s">
        <v>44</v>
      </c>
      <c r="E64" s="3" t="s">
        <v>296</v>
      </c>
      <c r="F64" s="24" t="s">
        <v>297</v>
      </c>
      <c r="G64" s="30"/>
      <c r="H64" s="30" t="s">
        <v>286</v>
      </c>
      <c r="I64" s="30"/>
      <c r="J64" s="34" t="s">
        <v>13</v>
      </c>
      <c r="K64" s="30" t="s">
        <v>41</v>
      </c>
      <c r="L64" s="30"/>
      <c r="M64" s="30"/>
    </row>
    <row r="65" spans="1:13" ht="68" x14ac:dyDescent="0.2">
      <c r="A65" s="2" t="str">
        <f>VLOOKUP(Table1[[#This Row],[Type]],MaturityLevelDescription,3,FALSE)</f>
        <v>Level 4</v>
      </c>
      <c r="B65" s="5" t="s">
        <v>298</v>
      </c>
      <c r="C65" s="3" t="s">
        <v>299</v>
      </c>
      <c r="D65" s="35" t="s">
        <v>54</v>
      </c>
      <c r="E65" s="3" t="s">
        <v>300</v>
      </c>
      <c r="F65" s="39" t="s">
        <v>301</v>
      </c>
      <c r="G65" s="2"/>
      <c r="H65" s="2" t="s">
        <v>239</v>
      </c>
      <c r="I65" s="2"/>
      <c r="J65" s="3" t="s">
        <v>12</v>
      </c>
      <c r="K65" s="2" t="s">
        <v>41</v>
      </c>
      <c r="L65" s="2"/>
      <c r="M65" s="2"/>
    </row>
    <row r="66" spans="1:13" ht="85" x14ac:dyDescent="0.2">
      <c r="A66" s="2" t="str">
        <f>VLOOKUP(Table1[[#This Row],[Type]],MaturityLevelDescription,3,FALSE)</f>
        <v>Level 4</v>
      </c>
      <c r="B66" s="5" t="s">
        <v>302</v>
      </c>
      <c r="C66" s="3" t="s">
        <v>303</v>
      </c>
      <c r="D66" s="3"/>
      <c r="E66" s="3" t="s">
        <v>304</v>
      </c>
      <c r="F66" s="38" t="s">
        <v>305</v>
      </c>
      <c r="G66" s="2"/>
      <c r="H66" s="2" t="s">
        <v>239</v>
      </c>
      <c r="I66" s="2" t="s">
        <v>176</v>
      </c>
      <c r="J66" s="3" t="s">
        <v>12</v>
      </c>
      <c r="K66" s="2" t="s">
        <v>41</v>
      </c>
      <c r="L66" s="2"/>
      <c r="M66" s="2"/>
    </row>
    <row r="67" spans="1:13" ht="51" x14ac:dyDescent="0.2">
      <c r="A67" s="2" t="str">
        <f>VLOOKUP(Table1[[#This Row],[Type]],MaturityLevelDescription,3,FALSE)</f>
        <v>Level 4</v>
      </c>
      <c r="B67" s="5" t="s">
        <v>306</v>
      </c>
      <c r="C67" s="3" t="s">
        <v>307</v>
      </c>
      <c r="D67" s="35" t="s">
        <v>54</v>
      </c>
      <c r="E67" s="3"/>
      <c r="F67" s="30"/>
      <c r="G67" s="2"/>
      <c r="H67" s="2" t="s">
        <v>239</v>
      </c>
      <c r="I67" s="2" t="s">
        <v>256</v>
      </c>
      <c r="J67" s="3" t="s">
        <v>12</v>
      </c>
      <c r="K67" s="2"/>
      <c r="L67" s="2"/>
      <c r="M67" s="2"/>
    </row>
    <row r="68" spans="1:13" ht="85" x14ac:dyDescent="0.2">
      <c r="A68" s="2" t="str">
        <f>VLOOKUP(Table1[[#This Row],[Type]],MaturityLevelDescription,3,FALSE)</f>
        <v>Level 5</v>
      </c>
      <c r="B68" s="5" t="s">
        <v>308</v>
      </c>
      <c r="C68" s="35" t="s">
        <v>309</v>
      </c>
      <c r="D68" s="35" t="s">
        <v>54</v>
      </c>
      <c r="E68" s="3" t="s">
        <v>310</v>
      </c>
      <c r="F68" s="24" t="s">
        <v>311</v>
      </c>
      <c r="G68" s="2"/>
      <c r="H68" s="2" t="s">
        <v>286</v>
      </c>
      <c r="I68" s="2" t="s">
        <v>312</v>
      </c>
      <c r="J68" s="3" t="s">
        <v>12</v>
      </c>
      <c r="K68" s="2" t="s">
        <v>41</v>
      </c>
      <c r="L68" s="2"/>
      <c r="M68" s="2"/>
    </row>
    <row r="69" spans="1:13" ht="85" x14ac:dyDescent="0.2">
      <c r="A69" s="2" t="str">
        <f>VLOOKUP(Table1[[#This Row],[Type]],MaturityLevelDescription,3,FALSE)</f>
        <v>Level 5</v>
      </c>
      <c r="B69" s="4" t="s">
        <v>313</v>
      </c>
      <c r="C69" s="35" t="s">
        <v>314</v>
      </c>
      <c r="D69" s="33" t="s">
        <v>49</v>
      </c>
      <c r="E69" s="35" t="s">
        <v>315</v>
      </c>
      <c r="F69" s="23" t="s">
        <v>316</v>
      </c>
      <c r="G69" s="2"/>
      <c r="H69" s="2" t="s">
        <v>286</v>
      </c>
      <c r="I69" s="2"/>
      <c r="J69" s="3" t="s">
        <v>14</v>
      </c>
      <c r="K69" s="2" t="s">
        <v>41</v>
      </c>
      <c r="L69" s="2"/>
      <c r="M69" s="2"/>
    </row>
    <row r="70" spans="1:13" ht="102" x14ac:dyDescent="0.2">
      <c r="A70" s="2" t="str">
        <f>VLOOKUP(Table1[[#This Row],[Type]],MaturityLevelDescription,3,FALSE)</f>
        <v>Level 5</v>
      </c>
      <c r="B70" s="5" t="s">
        <v>317</v>
      </c>
      <c r="C70" s="33" t="s">
        <v>318</v>
      </c>
      <c r="D70" s="33" t="s">
        <v>49</v>
      </c>
      <c r="E70" s="3" t="s">
        <v>319</v>
      </c>
      <c r="F70" s="24" t="s">
        <v>320</v>
      </c>
      <c r="G70" s="2"/>
      <c r="H70" s="2" t="s">
        <v>286</v>
      </c>
      <c r="I70" s="2"/>
      <c r="J70" s="3" t="s">
        <v>14</v>
      </c>
      <c r="K70" s="2" t="s">
        <v>41</v>
      </c>
      <c r="L70" s="2"/>
      <c r="M70" s="2"/>
    </row>
    <row r="71" spans="1:13" ht="119" x14ac:dyDescent="0.2">
      <c r="A71" s="2" t="str">
        <f>VLOOKUP(Table1[[#This Row],[Type]],MaturityLevelDescription,3,FALSE)</f>
        <v>Level 5</v>
      </c>
      <c r="B71" s="5" t="s">
        <v>321</v>
      </c>
      <c r="C71" s="3" t="s">
        <v>322</v>
      </c>
      <c r="D71" s="34" t="s">
        <v>119</v>
      </c>
      <c r="E71" s="3" t="s">
        <v>323</v>
      </c>
      <c r="F71" s="24" t="s">
        <v>324</v>
      </c>
      <c r="G71" s="2"/>
      <c r="H71" s="2" t="s">
        <v>286</v>
      </c>
      <c r="I71" s="2"/>
      <c r="J71" s="3" t="s">
        <v>15</v>
      </c>
      <c r="K71" s="2" t="s">
        <v>41</v>
      </c>
      <c r="L71" s="2"/>
      <c r="M71" s="2"/>
    </row>
    <row r="72" spans="1:13" ht="119" x14ac:dyDescent="0.2">
      <c r="A72" s="2" t="str">
        <f>VLOOKUP(Table1[[#This Row],[Type]],MaturityLevelDescription,3,FALSE)</f>
        <v>Level 5</v>
      </c>
      <c r="B72" s="5" t="s">
        <v>325</v>
      </c>
      <c r="C72" s="3" t="s">
        <v>326</v>
      </c>
      <c r="D72" s="3" t="s">
        <v>148</v>
      </c>
      <c r="E72" s="3" t="s">
        <v>327</v>
      </c>
      <c r="F72" s="24" t="s">
        <v>328</v>
      </c>
      <c r="G72" s="2"/>
      <c r="H72" s="2" t="s">
        <v>286</v>
      </c>
      <c r="I72" s="2"/>
      <c r="J72" s="3" t="s">
        <v>16</v>
      </c>
      <c r="K72" s="2" t="s">
        <v>41</v>
      </c>
      <c r="L72" s="2"/>
      <c r="M72" s="2"/>
    </row>
    <row r="73" spans="1:13" ht="119" x14ac:dyDescent="0.2">
      <c r="A73" s="2" t="str">
        <f>VLOOKUP(Table1[[#This Row],[Type]],MaturityLevelDescription,3,FALSE)</f>
        <v>Level 5</v>
      </c>
      <c r="B73" s="5" t="s">
        <v>329</v>
      </c>
      <c r="C73" s="3" t="s">
        <v>330</v>
      </c>
      <c r="D73" s="3" t="s">
        <v>63</v>
      </c>
      <c r="E73" s="3" t="s">
        <v>331</v>
      </c>
      <c r="F73" s="24" t="s">
        <v>332</v>
      </c>
      <c r="G73" s="2"/>
      <c r="H73" s="2" t="s">
        <v>286</v>
      </c>
      <c r="I73" s="2"/>
      <c r="J73" s="3" t="s">
        <v>17</v>
      </c>
      <c r="K73" s="2" t="s">
        <v>41</v>
      </c>
      <c r="L73" s="2"/>
      <c r="M73" s="2"/>
    </row>
    <row r="74" spans="1:13" ht="102" x14ac:dyDescent="0.2">
      <c r="A74" s="2" t="str">
        <f>VLOOKUP(Table1[[#This Row],[Type]],MaturityLevelDescription,3,FALSE)</f>
        <v>Level 5</v>
      </c>
      <c r="B74" s="5" t="s">
        <v>333</v>
      </c>
      <c r="C74" s="3" t="s">
        <v>334</v>
      </c>
      <c r="D74" s="3" t="s">
        <v>73</v>
      </c>
      <c r="E74" s="3" t="s">
        <v>335</v>
      </c>
      <c r="F74" s="36" t="s">
        <v>336</v>
      </c>
      <c r="G74" s="2"/>
      <c r="H74" s="2" t="s">
        <v>286</v>
      </c>
      <c r="I74" s="2"/>
      <c r="J74" s="3" t="s">
        <v>18</v>
      </c>
      <c r="K74" s="2" t="s">
        <v>41</v>
      </c>
      <c r="L74" s="2"/>
      <c r="M74" s="2"/>
    </row>
    <row r="75" spans="1:13" ht="102" x14ac:dyDescent="0.2">
      <c r="A75" s="2" t="str">
        <f>VLOOKUP(Table1[[#This Row],[Type]],MaturityLevelDescription,3,FALSE)</f>
        <v>Level 5</v>
      </c>
      <c r="B75" s="5" t="s">
        <v>337</v>
      </c>
      <c r="C75" s="3" t="s">
        <v>338</v>
      </c>
      <c r="D75" s="27" t="s">
        <v>107</v>
      </c>
      <c r="E75" s="3" t="s">
        <v>339</v>
      </c>
      <c r="F75" s="24" t="s">
        <v>340</v>
      </c>
      <c r="G75" s="2"/>
      <c r="H75" s="2" t="s">
        <v>286</v>
      </c>
      <c r="I75" s="2"/>
      <c r="J75" s="3" t="s">
        <v>19</v>
      </c>
      <c r="K75" s="2" t="s">
        <v>41</v>
      </c>
      <c r="L75" s="2"/>
      <c r="M75" s="2"/>
    </row>
    <row r="76" spans="1:13" ht="102" x14ac:dyDescent="0.2">
      <c r="A76" s="2" t="str">
        <f>VLOOKUP(Table1[[#This Row],[Type]],MaturityLevelDescription,3,FALSE)</f>
        <v>Level 5</v>
      </c>
      <c r="B76" s="5" t="s">
        <v>341</v>
      </c>
      <c r="C76" s="3" t="s">
        <v>342</v>
      </c>
      <c r="D76" s="3" t="s">
        <v>87</v>
      </c>
      <c r="E76" s="3" t="s">
        <v>343</v>
      </c>
      <c r="F76" s="24" t="s">
        <v>344</v>
      </c>
      <c r="G76" s="2"/>
      <c r="H76" s="2" t="s">
        <v>286</v>
      </c>
      <c r="I76" s="2"/>
      <c r="J76" s="3" t="s">
        <v>20</v>
      </c>
      <c r="K76" s="2" t="s">
        <v>41</v>
      </c>
      <c r="L76" s="2"/>
      <c r="M76" s="2"/>
    </row>
    <row r="77" spans="1:13" ht="68" x14ac:dyDescent="0.2">
      <c r="A77" s="2" t="str">
        <f>VLOOKUP(Table1[[#This Row],[Type]],MaturityLevelDescription,3,FALSE)</f>
        <v>Level 5</v>
      </c>
      <c r="B77" s="5" t="s">
        <v>345</v>
      </c>
      <c r="C77" s="33" t="s">
        <v>346</v>
      </c>
      <c r="D77" s="33"/>
      <c r="E77" s="33" t="s">
        <v>347</v>
      </c>
      <c r="F77" s="37" t="s">
        <v>348</v>
      </c>
      <c r="G77" s="2"/>
      <c r="H77" s="2" t="s">
        <v>286</v>
      </c>
      <c r="I77" s="2" t="s">
        <v>312</v>
      </c>
      <c r="J77" s="3" t="s">
        <v>12</v>
      </c>
      <c r="K77" s="2" t="s">
        <v>41</v>
      </c>
      <c r="L77" s="2"/>
      <c r="M77" s="2"/>
    </row>
    <row r="78" spans="1:13" ht="102" x14ac:dyDescent="0.2">
      <c r="A78" s="2" t="str">
        <f>VLOOKUP(Table1[[#This Row],[Type]],MaturityLevelDescription,3,FALSE)</f>
        <v>Level 5</v>
      </c>
      <c r="B78" s="5" t="s">
        <v>349</v>
      </c>
      <c r="C78" s="27" t="s">
        <v>350</v>
      </c>
      <c r="D78" s="35"/>
      <c r="E78" s="35" t="s">
        <v>351</v>
      </c>
      <c r="F78" s="36" t="s">
        <v>352</v>
      </c>
      <c r="G78" s="2"/>
      <c r="H78" s="2" t="s">
        <v>286</v>
      </c>
      <c r="I78" s="2"/>
      <c r="J78" s="3" t="s">
        <v>12</v>
      </c>
      <c r="K78" s="2" t="s">
        <v>41</v>
      </c>
      <c r="L78" s="2"/>
      <c r="M78" s="2"/>
    </row>
    <row r="79" spans="1:13" ht="85" x14ac:dyDescent="0.2">
      <c r="A79" s="2" t="str">
        <f>VLOOKUP(Table1[[#This Row],[Type]],MaturityLevelDescription,3,FALSE)</f>
        <v>Level 5</v>
      </c>
      <c r="B79" s="5" t="s">
        <v>353</v>
      </c>
      <c r="C79" s="33" t="s">
        <v>354</v>
      </c>
      <c r="D79" s="33"/>
      <c r="E79" s="35" t="s">
        <v>355</v>
      </c>
      <c r="F79" s="36" t="s">
        <v>356</v>
      </c>
      <c r="G79" s="2"/>
      <c r="H79" s="2" t="s">
        <v>286</v>
      </c>
      <c r="I79" s="2"/>
      <c r="J79" s="3" t="s">
        <v>12</v>
      </c>
      <c r="K79" s="2" t="s">
        <v>41</v>
      </c>
      <c r="L79" s="2"/>
      <c r="M79" s="2"/>
    </row>
    <row r="80" spans="1:13" ht="102" x14ac:dyDescent="0.2">
      <c r="A80" s="2" t="str">
        <f>VLOOKUP(Table1[[#This Row],[Type]],MaturityLevelDescription,3,FALSE)</f>
        <v>Level 5</v>
      </c>
      <c r="B80" s="5" t="s">
        <v>357</v>
      </c>
      <c r="C80" s="35" t="s">
        <v>358</v>
      </c>
      <c r="D80" s="35"/>
      <c r="E80" s="35" t="s">
        <v>359</v>
      </c>
      <c r="F80" s="36" t="s">
        <v>360</v>
      </c>
      <c r="G80" s="2"/>
      <c r="H80" s="2" t="s">
        <v>286</v>
      </c>
      <c r="I80" s="2"/>
      <c r="J80" s="3" t="s">
        <v>12</v>
      </c>
      <c r="K80" s="2" t="s">
        <v>41</v>
      </c>
      <c r="L80" s="2"/>
      <c r="M80" s="2"/>
    </row>
  </sheetData>
  <dataValidations count="1">
    <dataValidation type="list" allowBlank="1" showInputMessage="1" showErrorMessage="1" sqref="H1 H3:H13 H15:H37 H39:H63 H65:H1048576" xr:uid="{56783475-8EDD-B940-B1EA-D559B0474D7B}">
      <formula1>CriteriaType</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06FC0-404B-8145-BB01-E39EF188E01A}">
  <dimension ref="A1:H12"/>
  <sheetViews>
    <sheetView tabSelected="1" topLeftCell="A6" zoomScale="130" zoomScaleNormal="130" workbookViewId="0">
      <selection activeCell="C8" sqref="C8"/>
    </sheetView>
  </sheetViews>
  <sheetFormatPr baseColWidth="10" defaultColWidth="11" defaultRowHeight="16" x14ac:dyDescent="0.2"/>
  <cols>
    <col min="1" max="1" width="39.33203125" customWidth="1"/>
    <col min="2" max="2" width="31" customWidth="1"/>
    <col min="3" max="3" width="34.6640625" customWidth="1"/>
    <col min="4" max="4" width="36.33203125" customWidth="1"/>
    <col min="5" max="5" width="32.83203125" customWidth="1"/>
    <col min="6" max="6" width="30.33203125" style="1" customWidth="1"/>
  </cols>
  <sheetData>
    <row r="1" spans="1:8" ht="17" x14ac:dyDescent="0.2">
      <c r="A1" s="49" t="s">
        <v>361</v>
      </c>
      <c r="B1" s="44" t="s">
        <v>3</v>
      </c>
      <c r="C1" s="44" t="s">
        <v>4</v>
      </c>
      <c r="D1" s="44" t="s">
        <v>5</v>
      </c>
      <c r="E1" s="44" t="s">
        <v>6</v>
      </c>
      <c r="F1" s="58" t="s">
        <v>7</v>
      </c>
    </row>
    <row r="2" spans="1:8" ht="125.25" customHeight="1" x14ac:dyDescent="0.2">
      <c r="A2" s="62" t="s">
        <v>522</v>
      </c>
      <c r="B2" s="57" t="s">
        <v>362</v>
      </c>
      <c r="C2" s="57" t="s">
        <v>363</v>
      </c>
      <c r="D2" s="57" t="s">
        <v>364</v>
      </c>
      <c r="E2" s="57" t="s">
        <v>365</v>
      </c>
      <c r="F2" s="59" t="s">
        <v>366</v>
      </c>
    </row>
    <row r="3" spans="1:8" ht="156" customHeight="1" x14ac:dyDescent="0.2">
      <c r="A3" s="56" t="s">
        <v>367</v>
      </c>
      <c r="B3" s="57" t="s">
        <v>368</v>
      </c>
      <c r="C3" s="57" t="s">
        <v>369</v>
      </c>
      <c r="D3" s="57" t="s">
        <v>370</v>
      </c>
      <c r="E3" s="57" t="s">
        <v>371</v>
      </c>
      <c r="F3" s="59" t="s">
        <v>372</v>
      </c>
    </row>
    <row r="4" spans="1:8" ht="159" customHeight="1" x14ac:dyDescent="0.2">
      <c r="A4" s="56" t="s">
        <v>373</v>
      </c>
      <c r="B4" s="57" t="s">
        <v>374</v>
      </c>
      <c r="C4" s="57" t="s">
        <v>375</v>
      </c>
      <c r="D4" s="57" t="s">
        <v>376</v>
      </c>
      <c r="E4" s="57" t="s">
        <v>377</v>
      </c>
      <c r="F4" s="59" t="s">
        <v>378</v>
      </c>
    </row>
    <row r="5" spans="1:8" ht="210" x14ac:dyDescent="0.2">
      <c r="A5" s="45" t="s">
        <v>379</v>
      </c>
      <c r="B5" s="42" t="s">
        <v>380</v>
      </c>
      <c r="C5" s="42" t="s">
        <v>381</v>
      </c>
      <c r="D5" s="42" t="s">
        <v>382</v>
      </c>
      <c r="E5" s="42" t="s">
        <v>383</v>
      </c>
      <c r="F5" s="43" t="s">
        <v>384</v>
      </c>
    </row>
    <row r="6" spans="1:8" ht="146.25" customHeight="1" x14ac:dyDescent="0.2">
      <c r="A6" s="56" t="s">
        <v>385</v>
      </c>
      <c r="B6" s="67" t="s">
        <v>386</v>
      </c>
      <c r="C6" s="67" t="s">
        <v>387</v>
      </c>
      <c r="D6" s="57" t="s">
        <v>388</v>
      </c>
      <c r="E6" s="57" t="s">
        <v>389</v>
      </c>
      <c r="F6" s="59" t="s">
        <v>390</v>
      </c>
    </row>
    <row r="7" spans="1:8" ht="126" customHeight="1" x14ac:dyDescent="0.2">
      <c r="A7" s="45" t="s">
        <v>391</v>
      </c>
      <c r="B7" s="60" t="s">
        <v>392</v>
      </c>
      <c r="C7" s="57" t="s">
        <v>393</v>
      </c>
      <c r="D7" s="57" t="s">
        <v>394</v>
      </c>
      <c r="E7" s="57" t="s">
        <v>395</v>
      </c>
      <c r="F7" s="59" t="s">
        <v>396</v>
      </c>
    </row>
    <row r="8" spans="1:8" ht="192.75" customHeight="1" x14ac:dyDescent="0.2">
      <c r="A8" s="56" t="s">
        <v>397</v>
      </c>
      <c r="B8" s="42" t="s">
        <v>398</v>
      </c>
      <c r="C8" s="42" t="s">
        <v>399</v>
      </c>
      <c r="D8" s="42" t="s">
        <v>400</v>
      </c>
      <c r="E8" s="42" t="s">
        <v>401</v>
      </c>
      <c r="F8" s="59" t="s">
        <v>402</v>
      </c>
    </row>
    <row r="9" spans="1:8" ht="105" x14ac:dyDescent="0.2">
      <c r="A9" s="56" t="s">
        <v>403</v>
      </c>
      <c r="B9" s="42" t="s">
        <v>404</v>
      </c>
      <c r="C9" s="42" t="s">
        <v>405</v>
      </c>
      <c r="D9" s="42" t="s">
        <v>406</v>
      </c>
      <c r="E9" s="47" t="s">
        <v>407</v>
      </c>
      <c r="F9" s="48" t="s">
        <v>408</v>
      </c>
      <c r="H9">
        <f>+I9</f>
        <v>0</v>
      </c>
    </row>
    <row r="10" spans="1:8" ht="228" customHeight="1" x14ac:dyDescent="0.2">
      <c r="A10" s="56" t="s">
        <v>409</v>
      </c>
      <c r="B10" s="42" t="s">
        <v>410</v>
      </c>
      <c r="C10" s="42" t="s">
        <v>411</v>
      </c>
      <c r="D10" s="42" t="s">
        <v>412</v>
      </c>
      <c r="E10" s="57" t="s">
        <v>413</v>
      </c>
      <c r="F10" s="61" t="s">
        <v>414</v>
      </c>
    </row>
    <row r="11" spans="1:8" ht="221.25" customHeight="1" x14ac:dyDescent="0.2">
      <c r="A11" s="56" t="s">
        <v>415</v>
      </c>
      <c r="B11" s="42" t="s">
        <v>416</v>
      </c>
      <c r="C11" s="42" t="s">
        <v>417</v>
      </c>
      <c r="D11" s="42" t="s">
        <v>418</v>
      </c>
      <c r="E11" s="57" t="s">
        <v>419</v>
      </c>
      <c r="F11" s="59" t="s">
        <v>420</v>
      </c>
    </row>
    <row r="12" spans="1:8" ht="90" x14ac:dyDescent="0.2">
      <c r="A12" s="46" t="s">
        <v>421</v>
      </c>
      <c r="B12" s="47" t="s">
        <v>422</v>
      </c>
      <c r="C12" s="47" t="s">
        <v>423</v>
      </c>
      <c r="D12" s="47" t="s">
        <v>424</v>
      </c>
      <c r="E12" s="47" t="s">
        <v>425</v>
      </c>
      <c r="F12" s="48" t="s">
        <v>426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977FD-BD05-B949-974D-86D5FAEFD00E}">
  <dimension ref="A1:G8"/>
  <sheetViews>
    <sheetView workbookViewId="0">
      <selection activeCell="C2" sqref="C2"/>
    </sheetView>
  </sheetViews>
  <sheetFormatPr baseColWidth="10" defaultRowHeight="16" x14ac:dyDescent="0.2"/>
  <cols>
    <col min="1" max="1" width="23.5" customWidth="1"/>
    <col min="2" max="2" width="49.83203125" style="1" customWidth="1"/>
    <col min="3" max="4" width="24.5" style="1" customWidth="1"/>
    <col min="5" max="5" width="26.33203125" style="1" customWidth="1"/>
    <col min="6" max="6" width="27.33203125" style="1" customWidth="1"/>
    <col min="7" max="7" width="29.1640625" style="1" customWidth="1"/>
  </cols>
  <sheetData>
    <row r="1" spans="1:7" ht="17" x14ac:dyDescent="0.2">
      <c r="A1" s="65" t="s">
        <v>559</v>
      </c>
      <c r="B1" s="66" t="s">
        <v>531</v>
      </c>
      <c r="C1" s="63" t="s">
        <v>3</v>
      </c>
      <c r="D1" s="63" t="s">
        <v>4</v>
      </c>
      <c r="E1" s="63" t="s">
        <v>5</v>
      </c>
      <c r="F1" s="63" t="s">
        <v>6</v>
      </c>
      <c r="G1" s="63" t="s">
        <v>7</v>
      </c>
    </row>
    <row r="2" spans="1:7" ht="102" x14ac:dyDescent="0.2">
      <c r="A2" s="22" t="s">
        <v>523</v>
      </c>
      <c r="B2" s="12" t="s">
        <v>530</v>
      </c>
      <c r="C2" s="12" t="s">
        <v>538</v>
      </c>
      <c r="D2" s="12" t="s">
        <v>541</v>
      </c>
      <c r="E2" s="12" t="s">
        <v>542</v>
      </c>
      <c r="F2" s="12" t="s">
        <v>539</v>
      </c>
      <c r="G2" s="12" t="s">
        <v>540</v>
      </c>
    </row>
    <row r="3" spans="1:7" ht="119" x14ac:dyDescent="0.2">
      <c r="A3" s="22" t="s">
        <v>524</v>
      </c>
      <c r="B3" s="12" t="s">
        <v>529</v>
      </c>
      <c r="C3" s="12" t="s">
        <v>543</v>
      </c>
      <c r="D3" s="1" t="s">
        <v>554</v>
      </c>
      <c r="E3" s="1" t="s">
        <v>558</v>
      </c>
      <c r="F3" s="64" t="s">
        <v>556</v>
      </c>
      <c r="G3" s="1" t="s">
        <v>557</v>
      </c>
    </row>
    <row r="4" spans="1:7" ht="68" x14ac:dyDescent="0.2">
      <c r="A4" s="22" t="s">
        <v>525</v>
      </c>
      <c r="B4" s="12" t="s">
        <v>528</v>
      </c>
      <c r="C4" s="12" t="s">
        <v>544</v>
      </c>
      <c r="D4" s="1" t="s">
        <v>555</v>
      </c>
      <c r="F4" s="1" t="s">
        <v>549</v>
      </c>
    </row>
    <row r="5" spans="1:7" ht="85" x14ac:dyDescent="0.2">
      <c r="A5" s="22" t="s">
        <v>526</v>
      </c>
      <c r="B5" s="12" t="s">
        <v>527</v>
      </c>
      <c r="C5" s="12" t="s">
        <v>545</v>
      </c>
      <c r="D5" s="1" t="s">
        <v>546</v>
      </c>
      <c r="E5" s="1" t="s">
        <v>547</v>
      </c>
      <c r="F5" s="1" t="s">
        <v>548</v>
      </c>
    </row>
    <row r="6" spans="1:7" ht="34" x14ac:dyDescent="0.2">
      <c r="A6" s="22" t="s">
        <v>532</v>
      </c>
      <c r="B6" s="1" t="s">
        <v>537</v>
      </c>
    </row>
    <row r="7" spans="1:7" ht="102" x14ac:dyDescent="0.2">
      <c r="A7" s="22" t="s">
        <v>533</v>
      </c>
      <c r="B7" s="1" t="s">
        <v>534</v>
      </c>
      <c r="C7" s="1" t="s">
        <v>551</v>
      </c>
      <c r="D7" s="1" t="s">
        <v>552</v>
      </c>
      <c r="E7" s="1" t="s">
        <v>553</v>
      </c>
    </row>
    <row r="8" spans="1:7" ht="51" x14ac:dyDescent="0.2">
      <c r="A8" s="22" t="s">
        <v>535</v>
      </c>
      <c r="B8" s="1" t="s">
        <v>536</v>
      </c>
      <c r="C8" s="1" t="s">
        <v>550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FD6F6-221D-9744-BB13-D329CA41D0B9}">
  <dimension ref="A1:E12"/>
  <sheetViews>
    <sheetView workbookViewId="0">
      <selection activeCell="B9" sqref="B9"/>
    </sheetView>
  </sheetViews>
  <sheetFormatPr baseColWidth="10" defaultColWidth="10.83203125" defaultRowHeight="16" x14ac:dyDescent="0.2"/>
  <cols>
    <col min="1" max="1" width="38.6640625" style="1" customWidth="1"/>
    <col min="2" max="2" width="26.6640625" style="50" customWidth="1"/>
    <col min="3" max="3" width="26.33203125" style="50" customWidth="1"/>
    <col min="4" max="4" width="23" style="50" customWidth="1"/>
    <col min="5" max="5" width="25.33203125" style="50" customWidth="1"/>
    <col min="6" max="16384" width="10.83203125" style="1"/>
  </cols>
  <sheetData>
    <row r="1" spans="1:5" ht="17" x14ac:dyDescent="0.2">
      <c r="A1" s="1" t="s">
        <v>427</v>
      </c>
      <c r="B1" s="54" t="s">
        <v>428</v>
      </c>
      <c r="C1" s="54" t="s">
        <v>429</v>
      </c>
      <c r="D1" s="54" t="s">
        <v>430</v>
      </c>
      <c r="E1" s="54" t="s">
        <v>431</v>
      </c>
    </row>
    <row r="2" spans="1:5" ht="85" x14ac:dyDescent="0.2">
      <c r="A2" s="52" t="s">
        <v>432</v>
      </c>
      <c r="B2" s="50" t="s">
        <v>433</v>
      </c>
      <c r="C2" s="50" t="s">
        <v>434</v>
      </c>
      <c r="D2" s="50" t="s">
        <v>435</v>
      </c>
      <c r="E2" s="50" t="s">
        <v>436</v>
      </c>
    </row>
    <row r="3" spans="1:5" ht="85" x14ac:dyDescent="0.2">
      <c r="A3" s="52" t="s">
        <v>437</v>
      </c>
      <c r="B3" s="50" t="s">
        <v>438</v>
      </c>
      <c r="C3" s="50" t="s">
        <v>439</v>
      </c>
      <c r="D3" s="50" t="s">
        <v>440</v>
      </c>
      <c r="E3" s="50" t="s">
        <v>441</v>
      </c>
    </row>
    <row r="4" spans="1:5" ht="85" x14ac:dyDescent="0.2">
      <c r="A4" s="51" t="s">
        <v>442</v>
      </c>
      <c r="B4" s="50" t="s">
        <v>443</v>
      </c>
      <c r="C4" s="50" t="s">
        <v>444</v>
      </c>
      <c r="D4" s="50" t="s">
        <v>445</v>
      </c>
      <c r="E4" s="50" t="s">
        <v>446</v>
      </c>
    </row>
    <row r="5" spans="1:5" ht="85" x14ac:dyDescent="0.2">
      <c r="A5" s="53" t="s">
        <v>447</v>
      </c>
      <c r="B5" s="50" t="s">
        <v>448</v>
      </c>
      <c r="C5" s="50" t="s">
        <v>449</v>
      </c>
      <c r="D5" s="50" t="s">
        <v>450</v>
      </c>
      <c r="E5" s="50" t="s">
        <v>451</v>
      </c>
    </row>
    <row r="6" spans="1:5" ht="85" x14ac:dyDescent="0.2">
      <c r="A6" s="52" t="s">
        <v>452</v>
      </c>
      <c r="B6" s="50" t="s">
        <v>453</v>
      </c>
      <c r="C6" s="50" t="s">
        <v>454</v>
      </c>
      <c r="D6" s="50" t="s">
        <v>455</v>
      </c>
      <c r="E6" s="50" t="s">
        <v>456</v>
      </c>
    </row>
    <row r="7" spans="1:5" ht="85" x14ac:dyDescent="0.2">
      <c r="A7" s="55" t="s">
        <v>457</v>
      </c>
      <c r="B7" s="50" t="s">
        <v>458</v>
      </c>
      <c r="C7" s="50" t="s">
        <v>459</v>
      </c>
      <c r="D7" s="50" t="s">
        <v>460</v>
      </c>
      <c r="E7" s="50" t="s">
        <v>461</v>
      </c>
    </row>
    <row r="8" spans="1:5" ht="85" x14ac:dyDescent="0.2">
      <c r="A8" s="51" t="s">
        <v>462</v>
      </c>
      <c r="B8" s="50" t="s">
        <v>463</v>
      </c>
      <c r="C8" s="50" t="s">
        <v>464</v>
      </c>
      <c r="D8" s="50" t="s">
        <v>465</v>
      </c>
      <c r="E8" s="50" t="s">
        <v>466</v>
      </c>
    </row>
    <row r="9" spans="1:5" ht="85" x14ac:dyDescent="0.2">
      <c r="A9" s="51" t="s">
        <v>467</v>
      </c>
      <c r="B9" s="50" t="s">
        <v>468</v>
      </c>
      <c r="C9" s="50" t="s">
        <v>469</v>
      </c>
      <c r="D9" s="50" t="s">
        <v>470</v>
      </c>
      <c r="E9" s="50" t="s">
        <v>471</v>
      </c>
    </row>
    <row r="10" spans="1:5" ht="85" x14ac:dyDescent="0.2">
      <c r="A10" s="52" t="s">
        <v>472</v>
      </c>
      <c r="B10" s="50" t="s">
        <v>473</v>
      </c>
      <c r="C10" s="50" t="s">
        <v>474</v>
      </c>
      <c r="D10" s="50" t="s">
        <v>475</v>
      </c>
      <c r="E10" s="50" t="s">
        <v>476</v>
      </c>
    </row>
    <row r="11" spans="1:5" ht="85" x14ac:dyDescent="0.2">
      <c r="A11" s="52" t="s">
        <v>477</v>
      </c>
      <c r="B11" s="50" t="s">
        <v>478</v>
      </c>
      <c r="C11" s="50" t="s">
        <v>479</v>
      </c>
      <c r="D11" s="50" t="s">
        <v>480</v>
      </c>
      <c r="E11" s="50" t="s">
        <v>481</v>
      </c>
    </row>
    <row r="12" spans="1:5" ht="85" x14ac:dyDescent="0.2">
      <c r="A12" s="53" t="s">
        <v>482</v>
      </c>
      <c r="B12" s="50" t="s">
        <v>483</v>
      </c>
      <c r="C12" s="50" t="s">
        <v>484</v>
      </c>
      <c r="D12" s="50" t="s">
        <v>485</v>
      </c>
      <c r="E12" s="50" t="s">
        <v>486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D5507-8540-B64B-94F9-20E9AEE3A51C}">
  <dimension ref="A2:H11"/>
  <sheetViews>
    <sheetView zoomScale="132" workbookViewId="0">
      <selection activeCell="D7" sqref="D7"/>
    </sheetView>
  </sheetViews>
  <sheetFormatPr baseColWidth="10" defaultColWidth="11" defaultRowHeight="16" x14ac:dyDescent="0.2"/>
  <cols>
    <col min="1" max="1" width="18.1640625" customWidth="1"/>
    <col min="2" max="2" width="43.6640625" style="1" customWidth="1"/>
    <col min="5" max="5" width="19.1640625" customWidth="1"/>
    <col min="6" max="6" width="77" hidden="1" customWidth="1"/>
    <col min="7" max="7" width="16.6640625" customWidth="1"/>
    <col min="8" max="8" width="46.83203125" customWidth="1"/>
  </cols>
  <sheetData>
    <row r="2" spans="1:8" ht="18" thickBot="1" x14ac:dyDescent="0.25">
      <c r="A2" s="6" t="s">
        <v>487</v>
      </c>
      <c r="B2" s="7" t="s">
        <v>488</v>
      </c>
      <c r="E2" s="18" t="s">
        <v>29</v>
      </c>
      <c r="F2" s="18" t="s">
        <v>488</v>
      </c>
      <c r="G2" s="18" t="s">
        <v>22</v>
      </c>
      <c r="H2" s="18" t="s">
        <v>489</v>
      </c>
    </row>
    <row r="3" spans="1:8" ht="52" thickBot="1" x14ac:dyDescent="0.25">
      <c r="A3" s="8" t="s">
        <v>22</v>
      </c>
      <c r="B3" s="9" t="s">
        <v>490</v>
      </c>
      <c r="E3" s="2" t="s">
        <v>39</v>
      </c>
      <c r="F3" s="3" t="s">
        <v>491</v>
      </c>
      <c r="G3" s="22" t="s">
        <v>3</v>
      </c>
      <c r="H3" s="12" t="s">
        <v>492</v>
      </c>
    </row>
    <row r="4" spans="1:8" ht="86" thickBot="1" x14ac:dyDescent="0.25">
      <c r="A4" s="10" t="s">
        <v>23</v>
      </c>
      <c r="B4" s="9" t="s">
        <v>493</v>
      </c>
      <c r="E4" s="2" t="s">
        <v>104</v>
      </c>
      <c r="F4" s="3" t="s">
        <v>494</v>
      </c>
      <c r="G4" s="22" t="s">
        <v>4</v>
      </c>
      <c r="H4" s="12" t="s">
        <v>495</v>
      </c>
    </row>
    <row r="5" spans="1:8" ht="86" thickBot="1" x14ac:dyDescent="0.25">
      <c r="A5" s="10" t="s">
        <v>24</v>
      </c>
      <c r="B5" s="9" t="s">
        <v>496</v>
      </c>
      <c r="E5" s="2" t="s">
        <v>111</v>
      </c>
      <c r="F5" s="3" t="s">
        <v>497</v>
      </c>
      <c r="G5" s="22" t="s">
        <v>5</v>
      </c>
      <c r="H5" s="12" t="s">
        <v>498</v>
      </c>
    </row>
    <row r="6" spans="1:8" ht="98" customHeight="1" thickBot="1" x14ac:dyDescent="0.25">
      <c r="A6" s="13" t="s">
        <v>29</v>
      </c>
      <c r="B6" s="14" t="s">
        <v>499</v>
      </c>
      <c r="E6" s="2" t="s">
        <v>239</v>
      </c>
      <c r="F6" s="3" t="s">
        <v>500</v>
      </c>
      <c r="G6" s="22" t="s">
        <v>6</v>
      </c>
      <c r="H6" s="12" t="s">
        <v>501</v>
      </c>
    </row>
    <row r="7" spans="1:8" ht="69" thickBot="1" x14ac:dyDescent="0.25">
      <c r="A7" s="8" t="s">
        <v>27</v>
      </c>
      <c r="B7" s="9" t="s">
        <v>502</v>
      </c>
      <c r="E7" s="2" t="s">
        <v>286</v>
      </c>
      <c r="F7" s="3" t="s">
        <v>503</v>
      </c>
      <c r="G7" s="22" t="s">
        <v>7</v>
      </c>
      <c r="H7" s="12" t="s">
        <v>504</v>
      </c>
    </row>
    <row r="8" spans="1:8" ht="35" thickBot="1" x14ac:dyDescent="0.25">
      <c r="A8" s="15" t="s">
        <v>505</v>
      </c>
      <c r="B8" s="14" t="s">
        <v>506</v>
      </c>
    </row>
    <row r="9" spans="1:8" ht="35" thickBot="1" x14ac:dyDescent="0.25">
      <c r="A9" s="8" t="s">
        <v>32</v>
      </c>
      <c r="B9" s="9" t="s">
        <v>507</v>
      </c>
    </row>
    <row r="10" spans="1:8" ht="35" thickBot="1" x14ac:dyDescent="0.25">
      <c r="A10" s="11" t="s">
        <v>33</v>
      </c>
      <c r="B10" s="9" t="s">
        <v>508</v>
      </c>
    </row>
    <row r="11" spans="1:8" ht="35" thickBot="1" x14ac:dyDescent="0.25">
      <c r="A11" s="11" t="s">
        <v>34</v>
      </c>
      <c r="B11" s="12" t="s">
        <v>509</v>
      </c>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A750D-7604-4145-8029-DBCCA8623CC3}">
  <dimension ref="A2:B5"/>
  <sheetViews>
    <sheetView workbookViewId="0">
      <selection activeCell="B6" sqref="B6"/>
    </sheetView>
  </sheetViews>
  <sheetFormatPr baseColWidth="10" defaultColWidth="11" defaultRowHeight="16" x14ac:dyDescent="0.2"/>
  <cols>
    <col min="1" max="1" width="30.6640625" customWidth="1"/>
  </cols>
  <sheetData>
    <row r="2" spans="1:2" x14ac:dyDescent="0.2">
      <c r="A2" t="s">
        <v>510</v>
      </c>
      <c r="B2" t="s">
        <v>511</v>
      </c>
    </row>
    <row r="3" spans="1:2" x14ac:dyDescent="0.2">
      <c r="A3" t="s">
        <v>512</v>
      </c>
      <c r="B3" t="s">
        <v>511</v>
      </c>
    </row>
    <row r="4" spans="1:2" x14ac:dyDescent="0.2">
      <c r="A4" t="s">
        <v>18</v>
      </c>
      <c r="B4" t="s">
        <v>513</v>
      </c>
    </row>
    <row r="5" spans="1:2" x14ac:dyDescent="0.2">
      <c r="A5" t="s">
        <v>12</v>
      </c>
      <c r="B5" t="s">
        <v>514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6C085-06C8-9A42-A36B-983E487709A1}">
  <dimension ref="A1:B8"/>
  <sheetViews>
    <sheetView zoomScale="150" workbookViewId="0">
      <selection activeCell="A7" sqref="A7:A8"/>
    </sheetView>
  </sheetViews>
  <sheetFormatPr baseColWidth="10" defaultColWidth="11" defaultRowHeight="16" x14ac:dyDescent="0.2"/>
  <cols>
    <col min="1" max="1" width="35" customWidth="1"/>
    <col min="2" max="2" width="28.6640625" customWidth="1"/>
  </cols>
  <sheetData>
    <row r="1" spans="1:2" x14ac:dyDescent="0.2">
      <c r="A1" s="16" t="s">
        <v>181</v>
      </c>
      <c r="B1" s="17" t="s">
        <v>488</v>
      </c>
    </row>
    <row r="2" spans="1:2" x14ac:dyDescent="0.2">
      <c r="A2" t="s">
        <v>515</v>
      </c>
    </row>
    <row r="3" spans="1:2" x14ac:dyDescent="0.2">
      <c r="A3" t="s">
        <v>516</v>
      </c>
    </row>
    <row r="4" spans="1:2" x14ac:dyDescent="0.2">
      <c r="A4" t="s">
        <v>517</v>
      </c>
    </row>
    <row r="5" spans="1:2" x14ac:dyDescent="0.2">
      <c r="A5" t="s">
        <v>518</v>
      </c>
    </row>
    <row r="6" spans="1:2" x14ac:dyDescent="0.2">
      <c r="A6" t="s">
        <v>519</v>
      </c>
    </row>
    <row r="7" spans="1:2" x14ac:dyDescent="0.2">
      <c r="A7" s="29" t="s">
        <v>520</v>
      </c>
    </row>
    <row r="8" spans="1:2" x14ac:dyDescent="0.2">
      <c r="A8" s="29" t="s">
        <v>521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Summary</vt:lpstr>
      <vt:lpstr>Detailed Criteria</vt:lpstr>
      <vt:lpstr>Summary Criteria - Capability</vt:lpstr>
      <vt:lpstr>Updated Criteria_March 2026</vt:lpstr>
      <vt:lpstr>Summary Criteria - Enterprise</vt:lpstr>
      <vt:lpstr>Reference</vt:lpstr>
      <vt:lpstr>Assignments</vt:lpstr>
      <vt:lpstr>Data Role Reference Model</vt:lpstr>
      <vt:lpstr>CriteriaType</vt:lpstr>
      <vt:lpstr>MaturityLevelDescription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Carter, Dwayne@HCAI</dc:creator>
  <cp:keywords/>
  <dc:description/>
  <cp:lastModifiedBy>Dwayne Carter</cp:lastModifiedBy>
  <cp:revision/>
  <dcterms:created xsi:type="dcterms:W3CDTF">2025-08-05T18:22:14Z</dcterms:created>
  <dcterms:modified xsi:type="dcterms:W3CDTF">2026-03-19T00:30:01Z</dcterms:modified>
  <cp:category/>
  <cp:contentStatus/>
</cp:coreProperties>
</file>